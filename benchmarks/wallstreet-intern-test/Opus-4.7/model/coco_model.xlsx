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IS" sheetId="4" state="visible" r:id="rId4"/>
    <sheet xmlns:r="http://schemas.openxmlformats.org/officeDocument/2006/relationships" name="BS" sheetId="5" state="visible" r:id="rId5"/>
    <sheet xmlns:r="http://schemas.openxmlformats.org/officeDocument/2006/relationships" name="CF" sheetId="6" state="visible" r:id="rId6"/>
    <sheet xmlns:r="http://schemas.openxmlformats.org/officeDocument/2006/relationships" name="Valuation" sheetId="7" state="visible" r:id="rId7"/>
  </sheets>
  <definedNames>
    <definedName name="Scenario">Cover!$B$4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$0.00"/>
    <numFmt numFmtId="167" formatCode="#,##0.0&quot;x&quot;"/>
    <numFmt numFmtId="168" formatCode="0.0&quot;x&quot;"/>
    <numFmt numFmtId="169" formatCode="0.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sz val="11"/>
    </font>
    <font>
      <b val="1"/>
      <sz val="12"/>
    </font>
    <font>
      <name val="Calibri"/>
      <sz val="10"/>
    </font>
    <font>
      <b val="1"/>
      <color rgb="002F5496"/>
      <sz val="12"/>
    </font>
    <font>
      <name val="Calibri"/>
      <b val="1"/>
      <color rgb="00FFFFFF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6" fillId="4" borderId="0" pivotButton="0" quotePrefix="0" xfId="0"/>
    <xf numFmtId="166" fontId="0" fillId="0" borderId="0" pivotButton="0" quotePrefix="0" xfId="0"/>
    <xf numFmtId="165" fontId="3" fillId="0" borderId="0" pivotButton="0" quotePrefix="0" xfId="0"/>
    <xf numFmtId="0" fontId="7" fillId="5" borderId="0" applyAlignment="1" pivotButton="0" quotePrefix="0" xfId="0">
      <alignment horizontal="center"/>
    </xf>
    <xf numFmtId="165" fontId="0" fillId="2" borderId="0" pivotButton="0" quotePrefix="0" xfId="0"/>
    <xf numFmtId="164" fontId="0" fillId="2" borderId="0" pivotButton="0" quotePrefix="0" xfId="0"/>
    <xf numFmtId="164" fontId="3" fillId="0" borderId="0" pivotButton="0" quotePrefix="0" xfId="0"/>
    <xf numFmtId="167" fontId="0" fillId="2" borderId="0" pivotButton="0" quotePrefix="0" xfId="0"/>
    <xf numFmtId="167" fontId="3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3" fontId="3" fillId="4" borderId="0" pivotButton="0" quotePrefix="0" xfId="0"/>
    <xf numFmtId="0" fontId="3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4" fontId="0" fillId="0" borderId="0" pivotButton="0" quotePrefix="0" xfId="0"/>
    <xf numFmtId="166" fontId="3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4" fontId="0" fillId="4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The Vita Coco Company, Inc. (NASDAQ: COCO) - 3-Statement Model</t>
        </is>
      </c>
    </row>
    <row r="2">
      <c r="A2" s="2" t="inlineStr">
        <is>
          <t>Built 2026-04-27. Source: FY2025 10-K (accn 0001482981-26-000022) and Q3-2025 10-Q + earnings press releases.</t>
        </is>
      </c>
    </row>
    <row r="4">
      <c r="A4" s="3" t="inlineStr">
        <is>
          <t>Scenario (1=Bear, 2=Base, 3=Bull):</t>
        </is>
      </c>
      <c r="B4" s="4" t="n">
        <v>2</v>
      </c>
    </row>
    <row r="6">
      <c r="A6" s="3" t="inlineStr">
        <is>
          <t>Key live outputs (recompute when scenario changes):</t>
        </is>
      </c>
    </row>
    <row r="7">
      <c r="A7" s="5" t="inlineStr"/>
      <c r="B7" s="5" t="inlineStr">
        <is>
          <t>FY2025A</t>
        </is>
      </c>
      <c r="C7" s="5" t="inlineStr">
        <is>
          <t>FY2026E</t>
        </is>
      </c>
      <c r="D7" s="5" t="inlineStr">
        <is>
          <t>FY2027E</t>
        </is>
      </c>
      <c r="E7" s="5" t="inlineStr">
        <is>
          <t>FY2028E</t>
        </is>
      </c>
    </row>
    <row r="8">
      <c r="A8" s="6" t="inlineStr">
        <is>
          <t>Net sales ($M)</t>
        </is>
      </c>
      <c r="B8" s="7">
        <f>IS!B8/1000</f>
        <v/>
      </c>
      <c r="C8" s="7">
        <f>IS!C8/1000</f>
        <v/>
      </c>
      <c r="D8" s="7">
        <f>IS!D8/1000</f>
        <v/>
      </c>
      <c r="E8" s="7">
        <f>IS!E8/1000</f>
        <v/>
      </c>
    </row>
    <row r="9">
      <c r="A9" s="6" t="inlineStr">
        <is>
          <t>YoY growth</t>
        </is>
      </c>
      <c r="B9" s="8" t="inlineStr"/>
      <c r="C9" s="8">
        <f>IS!C8/IS!B8-1</f>
        <v/>
      </c>
      <c r="D9" s="8">
        <f>IS!D8/IS!C8-1</f>
        <v/>
      </c>
      <c r="E9" s="8">
        <f>IS!E8/IS!D8-1</f>
        <v/>
      </c>
    </row>
    <row r="10">
      <c r="A10" s="6" t="inlineStr">
        <is>
          <t>Gross margin</t>
        </is>
      </c>
      <c r="B10" s="8">
        <f>IS!B14/IS!B8</f>
        <v/>
      </c>
      <c r="C10" s="8">
        <f>IS!C14/IS!C8</f>
        <v/>
      </c>
      <c r="D10" s="8">
        <f>IS!D14/IS!D8</f>
        <v/>
      </c>
      <c r="E10" s="8">
        <f>IS!E14/IS!E8</f>
        <v/>
      </c>
    </row>
    <row r="11">
      <c r="A11" s="6" t="inlineStr">
        <is>
          <t>Operating margin</t>
        </is>
      </c>
      <c r="B11" s="8">
        <f>IS!B18/IS!B8</f>
        <v/>
      </c>
      <c r="C11" s="8">
        <f>IS!C18/IS!C8</f>
        <v/>
      </c>
      <c r="D11" s="8">
        <f>IS!D18/IS!D8</f>
        <v/>
      </c>
      <c r="E11" s="8">
        <f>IS!E18/IS!E8</f>
        <v/>
      </c>
    </row>
    <row r="12">
      <c r="A12" s="6" t="inlineStr">
        <is>
          <t>Adj EBITDA ($M)</t>
        </is>
      </c>
      <c r="B12" s="7">
        <f>IS!B26/1000</f>
        <v/>
      </c>
      <c r="C12" s="7">
        <f>IS!C26/1000</f>
        <v/>
      </c>
      <c r="D12" s="7">
        <f>IS!D26/1000</f>
        <v/>
      </c>
      <c r="E12" s="7">
        <f>IS!E26/1000</f>
        <v/>
      </c>
    </row>
    <row r="13">
      <c r="A13" s="6" t="inlineStr">
        <is>
          <t>Adj EBITDA margin</t>
        </is>
      </c>
      <c r="B13" s="8">
        <f>IS!B26/IS!B8</f>
        <v/>
      </c>
      <c r="C13" s="8">
        <f>IS!C26/IS!C8</f>
        <v/>
      </c>
      <c r="D13" s="8">
        <f>IS!D26/IS!D8</f>
        <v/>
      </c>
      <c r="E13" s="8">
        <f>IS!E26/IS!E8</f>
        <v/>
      </c>
    </row>
    <row r="14">
      <c r="A14" s="6" t="inlineStr">
        <is>
          <t>Net income ($M)</t>
        </is>
      </c>
      <c r="B14" s="7">
        <f>IS!B23/1000</f>
        <v/>
      </c>
      <c r="C14" s="7">
        <f>IS!C23/1000</f>
        <v/>
      </c>
      <c r="D14" s="7">
        <f>IS!D23/1000</f>
        <v/>
      </c>
      <c r="E14" s="7">
        <f>IS!E23/1000</f>
        <v/>
      </c>
    </row>
    <row r="15">
      <c r="A15" s="6" t="inlineStr">
        <is>
          <t>Diluted EPS ($)</t>
        </is>
      </c>
      <c r="B15" s="9">
        <f>IS!B31</f>
        <v/>
      </c>
      <c r="C15" s="9">
        <f>IS!C31</f>
        <v/>
      </c>
      <c r="D15" s="9">
        <f>IS!D31</f>
        <v/>
      </c>
      <c r="E15" s="9">
        <f>IS!E31</f>
        <v/>
      </c>
    </row>
    <row r="16">
      <c r="A16" s="6" t="inlineStr">
        <is>
          <t>FCF ($M)</t>
        </is>
      </c>
      <c r="B16" s="7">
        <f>CF!B8/1000</f>
        <v/>
      </c>
      <c r="C16" s="7">
        <f>CF!C8/1000</f>
        <v/>
      </c>
      <c r="D16" s="7">
        <f>CF!D8/1000</f>
        <v/>
      </c>
      <c r="E16" s="7">
        <f>CF!E8/1000</f>
        <v/>
      </c>
    </row>
    <row r="18">
      <c r="A18" s="3" t="inlineStr">
        <is>
          <t>Valuation (live):</t>
        </is>
      </c>
    </row>
    <row r="19">
      <c r="A19" t="inlineStr">
        <is>
          <t>12-month price target ($)</t>
        </is>
      </c>
      <c r="B19" s="10">
        <f>Valuation!B22</f>
        <v/>
      </c>
    </row>
    <row r="20">
      <c r="A20" t="inlineStr">
        <is>
          <t>Spot price 2026-04-27 ($)</t>
        </is>
      </c>
      <c r="B20" s="11" t="n">
        <v>52.39</v>
      </c>
    </row>
    <row r="21">
      <c r="A21" t="inlineStr">
        <is>
          <t>Implied upside / (downside)</t>
        </is>
      </c>
      <c r="B21" s="12">
        <f>B19/B20-1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>
      <c r="A1" s="13" t="inlineStr">
        <is>
          <t>Driver</t>
        </is>
      </c>
      <c r="B1" s="13" t="inlineStr">
        <is>
          <t>FY26 Bear</t>
        </is>
      </c>
      <c r="C1" s="13" t="inlineStr">
        <is>
          <t>FY26 Base</t>
        </is>
      </c>
      <c r="D1" s="13" t="inlineStr">
        <is>
          <t>FY26 Bull</t>
        </is>
      </c>
      <c r="E1" s="13" t="inlineStr">
        <is>
          <t>FY27 Bear</t>
        </is>
      </c>
      <c r="F1" s="13" t="inlineStr">
        <is>
          <t>FY27 Base</t>
        </is>
      </c>
      <c r="G1" s="13" t="inlineStr">
        <is>
          <t>FY27 Bull</t>
        </is>
      </c>
      <c r="H1" s="13" t="inlineStr">
        <is>
          <t>FY28 Bear</t>
        </is>
      </c>
      <c r="I1" s="13" t="inlineStr">
        <is>
          <t>FY28 Base</t>
        </is>
      </c>
      <c r="J1" s="13" t="inlineStr">
        <is>
          <t>FY28 Bull</t>
        </is>
      </c>
      <c r="K1" s="13" t="inlineStr">
        <is>
          <t>Live FY26</t>
        </is>
      </c>
      <c r="L1" s="13" t="inlineStr">
        <is>
          <t>Live FY27</t>
        </is>
      </c>
      <c r="M1" s="13" t="inlineStr">
        <is>
          <t>Live FY28</t>
        </is>
      </c>
    </row>
    <row r="3">
      <c r="A3" s="5" t="inlineStr">
        <is>
          <t>REVENUE GROWTH</t>
        </is>
      </c>
    </row>
    <row r="4">
      <c r="A4" s="6" t="inlineStr">
        <is>
          <t>Americas - Vita Coco Coconut Water (% YoY)</t>
        </is>
      </c>
      <c r="B4" s="14" t="n">
        <v>0.06</v>
      </c>
      <c r="C4" s="14" t="n">
        <v>0.12</v>
      </c>
      <c r="D4" s="14" t="n">
        <v>0.18</v>
      </c>
      <c r="E4" s="14" t="n">
        <v>0.06</v>
      </c>
      <c r="F4" s="14" t="n">
        <v>0.1</v>
      </c>
      <c r="G4" s="14" t="n">
        <v>0.15</v>
      </c>
      <c r="H4" s="14" t="n">
        <v>0.05</v>
      </c>
      <c r="I4" s="14" t="n">
        <v>0.09</v>
      </c>
      <c r="J4" s="14" t="n">
        <v>0.13</v>
      </c>
      <c r="K4" s="12">
        <f>CHOOSE(Scenario,B4,C4,D4)</f>
        <v/>
      </c>
      <c r="L4" s="12">
        <f>CHOOSE(Scenario,E4,F4,G4)</f>
        <v/>
      </c>
      <c r="M4" s="12">
        <f>CHOOSE(Scenario,H4,I4,J4)</f>
        <v/>
      </c>
    </row>
    <row r="5">
      <c r="A5" s="6" t="inlineStr">
        <is>
          <t>Americas - Private Label (% YoY)</t>
        </is>
      </c>
      <c r="B5" s="14" t="n">
        <v>0.05</v>
      </c>
      <c r="C5" s="14" t="n">
        <v>0.22</v>
      </c>
      <c r="D5" s="14" t="n">
        <v>0.35</v>
      </c>
      <c r="E5" s="14" t="n">
        <v>0.04</v>
      </c>
      <c r="F5" s="14" t="n">
        <v>0.1</v>
      </c>
      <c r="G5" s="14" t="n">
        <v>0.18</v>
      </c>
      <c r="H5" s="14" t="n">
        <v>0.03</v>
      </c>
      <c r="I5" s="14" t="n">
        <v>0.07000000000000001</v>
      </c>
      <c r="J5" s="14" t="n">
        <v>0.12</v>
      </c>
      <c r="K5" s="12">
        <f>CHOOSE(Scenario,B5,C5,D5)</f>
        <v/>
      </c>
      <c r="L5" s="12">
        <f>CHOOSE(Scenario,E5,F5,G5)</f>
        <v/>
      </c>
      <c r="M5" s="12">
        <f>CHOOSE(Scenario,H5,I5,J5)</f>
        <v/>
      </c>
    </row>
    <row r="6">
      <c r="A6" s="6" t="inlineStr">
        <is>
          <t>Americas - Other (% YoY)</t>
        </is>
      </c>
      <c r="B6" s="14" t="n">
        <v>-0.1</v>
      </c>
      <c r="C6" s="14" t="n">
        <v>0.1</v>
      </c>
      <c r="D6" s="14" t="n">
        <v>0.3</v>
      </c>
      <c r="E6" s="14" t="n">
        <v>0.05</v>
      </c>
      <c r="F6" s="14" t="n">
        <v>0.1</v>
      </c>
      <c r="G6" s="14" t="n">
        <v>0.2</v>
      </c>
      <c r="H6" s="14" t="n">
        <v>0.05</v>
      </c>
      <c r="I6" s="14" t="n">
        <v>0.08</v>
      </c>
      <c r="J6" s="14" t="n">
        <v>0.15</v>
      </c>
      <c r="K6" s="12">
        <f>CHOOSE(Scenario,B6,C6,D6)</f>
        <v/>
      </c>
      <c r="L6" s="12">
        <f>CHOOSE(Scenario,E6,F6,G6)</f>
        <v/>
      </c>
      <c r="M6" s="12">
        <f>CHOOSE(Scenario,H6,I6,J6)</f>
        <v/>
      </c>
    </row>
    <row r="7">
      <c r="A7" s="6" t="inlineStr">
        <is>
          <t>International - Vita Coco Coconut Water (% YoY)</t>
        </is>
      </c>
      <c r="B7" s="14" t="n">
        <v>0.18</v>
      </c>
      <c r="C7" s="14" t="n">
        <v>0.3</v>
      </c>
      <c r="D7" s="14" t="n">
        <v>0.4</v>
      </c>
      <c r="E7" s="14" t="n">
        <v>0.15</v>
      </c>
      <c r="F7" s="14" t="n">
        <v>0.25</v>
      </c>
      <c r="G7" s="14" t="n">
        <v>0.35</v>
      </c>
      <c r="H7" s="14" t="n">
        <v>0.12</v>
      </c>
      <c r="I7" s="14" t="n">
        <v>0.22</v>
      </c>
      <c r="J7" s="14" t="n">
        <v>0.3</v>
      </c>
      <c r="K7" s="12">
        <f>CHOOSE(Scenario,B7,C7,D7)</f>
        <v/>
      </c>
      <c r="L7" s="12">
        <f>CHOOSE(Scenario,E7,F7,G7)</f>
        <v/>
      </c>
      <c r="M7" s="12">
        <f>CHOOSE(Scenario,H7,I7,J7)</f>
        <v/>
      </c>
    </row>
    <row r="8">
      <c r="A8" s="6" t="inlineStr">
        <is>
          <t>International - Private Label (% YoY)</t>
        </is>
      </c>
      <c r="B8" s="14" t="n">
        <v>0.05</v>
      </c>
      <c r="C8" s="14" t="n">
        <v>0.15</v>
      </c>
      <c r="D8" s="14" t="n">
        <v>0.25</v>
      </c>
      <c r="E8" s="14" t="n">
        <v>0.05</v>
      </c>
      <c r="F8" s="14" t="n">
        <v>0.12</v>
      </c>
      <c r="G8" s="14" t="n">
        <v>0.2</v>
      </c>
      <c r="H8" s="14" t="n">
        <v>0.05</v>
      </c>
      <c r="I8" s="14" t="n">
        <v>0.1</v>
      </c>
      <c r="J8" s="14" t="n">
        <v>0.15</v>
      </c>
      <c r="K8" s="12">
        <f>CHOOSE(Scenario,B8,C8,D8)</f>
        <v/>
      </c>
      <c r="L8" s="12">
        <f>CHOOSE(Scenario,E8,F8,G8)</f>
        <v/>
      </c>
      <c r="M8" s="12">
        <f>CHOOSE(Scenario,H8,I8,J8)</f>
        <v/>
      </c>
    </row>
    <row r="9">
      <c r="A9" s="6" t="inlineStr">
        <is>
          <t>International - Other (% YoY)</t>
        </is>
      </c>
      <c r="B9" s="14" t="n">
        <v>-0.2</v>
      </c>
      <c r="C9" s="14" t="n">
        <v>0</v>
      </c>
      <c r="D9" s="14" t="n">
        <v>0.2</v>
      </c>
      <c r="E9" s="14" t="n">
        <v>0</v>
      </c>
      <c r="F9" s="14" t="n">
        <v>0.05</v>
      </c>
      <c r="G9" s="14" t="n">
        <v>0.15</v>
      </c>
      <c r="H9" s="14" t="n">
        <v>0</v>
      </c>
      <c r="I9" s="14" t="n">
        <v>0.05</v>
      </c>
      <c r="J9" s="14" t="n">
        <v>0.1</v>
      </c>
      <c r="K9" s="12">
        <f>CHOOSE(Scenario,B9,C9,D9)</f>
        <v/>
      </c>
      <c r="L9" s="12">
        <f>CHOOSE(Scenario,E9,F9,G9)</f>
        <v/>
      </c>
      <c r="M9" s="12">
        <f>CHOOSE(Scenario,H9,I9,J9)</f>
        <v/>
      </c>
    </row>
    <row r="11">
      <c r="A11" s="5" t="inlineStr">
        <is>
          <t>GROSS MARGIN</t>
        </is>
      </c>
    </row>
    <row r="12">
      <c r="A12" s="6" t="inlineStr">
        <is>
          <t>Americas gross margin (%)</t>
        </is>
      </c>
      <c r="B12" s="14" t="n">
        <v>0.355</v>
      </c>
      <c r="C12" s="14" t="n">
        <v>0.385</v>
      </c>
      <c r="D12" s="14" t="n">
        <v>0.4</v>
      </c>
      <c r="E12" s="14" t="n">
        <v>0.355</v>
      </c>
      <c r="F12" s="14" t="n">
        <v>0.39</v>
      </c>
      <c r="G12" s="14" t="n">
        <v>0.41</v>
      </c>
      <c r="H12" s="14" t="n">
        <v>0.355</v>
      </c>
      <c r="I12" s="14" t="n">
        <v>0.39</v>
      </c>
      <c r="J12" s="14" t="n">
        <v>0.415</v>
      </c>
      <c r="K12" s="12">
        <f>CHOOSE(Scenario,B12,C12,D12)</f>
        <v/>
      </c>
      <c r="L12" s="12">
        <f>CHOOSE(Scenario,E12,F12,G12)</f>
        <v/>
      </c>
      <c r="M12" s="12">
        <f>CHOOSE(Scenario,H12,I12,J12)</f>
        <v/>
      </c>
    </row>
    <row r="13">
      <c r="A13" s="6" t="inlineStr">
        <is>
          <t>International gross margin (%)</t>
        </is>
      </c>
      <c r="B13" s="14" t="n">
        <v>0.33</v>
      </c>
      <c r="C13" s="14" t="n">
        <v>0.36</v>
      </c>
      <c r="D13" s="14" t="n">
        <v>0.385</v>
      </c>
      <c r="E13" s="14" t="n">
        <v>0.335</v>
      </c>
      <c r="F13" s="14" t="n">
        <v>0.37</v>
      </c>
      <c r="G13" s="14" t="n">
        <v>0.4</v>
      </c>
      <c r="H13" s="14" t="n">
        <v>0.34</v>
      </c>
      <c r="I13" s="14" t="n">
        <v>0.375</v>
      </c>
      <c r="J13" s="14" t="n">
        <v>0.405</v>
      </c>
      <c r="K13" s="12">
        <f>CHOOSE(Scenario,B13,C13,D13)</f>
        <v/>
      </c>
      <c r="L13" s="12">
        <f>CHOOSE(Scenario,E13,F13,G13)</f>
        <v/>
      </c>
      <c r="M13" s="12">
        <f>CHOOSE(Scenario,H13,I13,J13)</f>
        <v/>
      </c>
    </row>
    <row r="15">
      <c r="A15" s="5" t="inlineStr">
        <is>
          <t>OPEX &amp; MISC</t>
        </is>
      </c>
    </row>
    <row r="16">
      <c r="A16" s="6" t="inlineStr">
        <is>
          <t>SG&amp;A as % of net sales</t>
        </is>
      </c>
      <c r="B16" s="14" t="n">
        <v>0.235</v>
      </c>
      <c r="C16" s="14" t="n">
        <v>0.22</v>
      </c>
      <c r="D16" s="14" t="n">
        <v>0.21</v>
      </c>
      <c r="E16" s="14" t="n">
        <v>0.23</v>
      </c>
      <c r="F16" s="14" t="n">
        <v>0.215</v>
      </c>
      <c r="G16" s="14" t="n">
        <v>0.205</v>
      </c>
      <c r="H16" s="14" t="n">
        <v>0.225</v>
      </c>
      <c r="I16" s="14" t="n">
        <v>0.21</v>
      </c>
      <c r="J16" s="14" t="n">
        <v>0.2</v>
      </c>
      <c r="K16" s="12">
        <f>CHOOSE(Scenario,B16,C16,D16)</f>
        <v/>
      </c>
      <c r="L16" s="12">
        <f>CHOOSE(Scenario,E16,F16,G16)</f>
        <v/>
      </c>
      <c r="M16" s="12">
        <f>CHOOSE(Scenario,H16,I16,J16)</f>
        <v/>
      </c>
    </row>
    <row r="17">
      <c r="A17" s="6" t="inlineStr">
        <is>
          <t>Effective tax rate (%)</t>
        </is>
      </c>
      <c r="B17" s="14" t="n">
        <v>0.25</v>
      </c>
      <c r="C17" s="14" t="n">
        <v>0.23</v>
      </c>
      <c r="D17" s="14" t="n">
        <v>0.215</v>
      </c>
      <c r="E17" s="14" t="n">
        <v>0.25</v>
      </c>
      <c r="F17" s="14" t="n">
        <v>0.23</v>
      </c>
      <c r="G17" s="14" t="n">
        <v>0.215</v>
      </c>
      <c r="H17" s="14" t="n">
        <v>0.25</v>
      </c>
      <c r="I17" s="14" t="n">
        <v>0.23</v>
      </c>
      <c r="J17" s="14" t="n">
        <v>0.215</v>
      </c>
      <c r="K17" s="12">
        <f>CHOOSE(Scenario,B17,C17,D17)</f>
        <v/>
      </c>
      <c r="L17" s="12">
        <f>CHOOSE(Scenario,E17,F17,G17)</f>
        <v/>
      </c>
      <c r="M17" s="12">
        <f>CHOOSE(Scenario,H17,I17,J17)</f>
        <v/>
      </c>
    </row>
    <row r="18">
      <c r="A18" s="6" t="inlineStr">
        <is>
          <t>D&amp;A as % of net sales</t>
        </is>
      </c>
      <c r="B18" s="14" t="n">
        <v>0.002</v>
      </c>
      <c r="C18" s="14" t="n">
        <v>0.002</v>
      </c>
      <c r="D18" s="14" t="n">
        <v>0.002</v>
      </c>
      <c r="E18" s="14" t="n">
        <v>0.002</v>
      </c>
      <c r="F18" s="14" t="n">
        <v>0.002</v>
      </c>
      <c r="G18" s="14" t="n">
        <v>0.002</v>
      </c>
      <c r="H18" s="14" t="n">
        <v>0.002</v>
      </c>
      <c r="I18" s="14" t="n">
        <v>0.002</v>
      </c>
      <c r="J18" s="14" t="n">
        <v>0.002</v>
      </c>
      <c r="K18" s="12">
        <f>CHOOSE(Scenario,B18,C18,D18)</f>
        <v/>
      </c>
      <c r="L18" s="12">
        <f>CHOOSE(Scenario,E18,F18,G18)</f>
        <v/>
      </c>
      <c r="M18" s="12">
        <f>CHOOSE(Scenario,H18,I18,J18)</f>
        <v/>
      </c>
    </row>
    <row r="19">
      <c r="A19" s="6" t="inlineStr">
        <is>
          <t>Stock-based comp as % of net sales</t>
        </is>
      </c>
      <c r="B19" s="14" t="n">
        <v>0.018</v>
      </c>
      <c r="C19" s="14" t="n">
        <v>0.018</v>
      </c>
      <c r="D19" s="14" t="n">
        <v>0.018</v>
      </c>
      <c r="E19" s="14" t="n">
        <v>0.018</v>
      </c>
      <c r="F19" s="14" t="n">
        <v>0.018</v>
      </c>
      <c r="G19" s="14" t="n">
        <v>0.018</v>
      </c>
      <c r="H19" s="14" t="n">
        <v>0.018</v>
      </c>
      <c r="I19" s="14" t="n">
        <v>0.018</v>
      </c>
      <c r="J19" s="14" t="n">
        <v>0.018</v>
      </c>
      <c r="K19" s="12">
        <f>CHOOSE(Scenario,B19,C19,D19)</f>
        <v/>
      </c>
      <c r="L19" s="12">
        <f>CHOOSE(Scenario,E19,F19,G19)</f>
        <v/>
      </c>
      <c r="M19" s="12">
        <f>CHOOSE(Scenario,H19,I19,J19)</f>
        <v/>
      </c>
    </row>
    <row r="20">
      <c r="A20" s="6" t="inlineStr">
        <is>
          <t>Capex as % of net sales</t>
        </is>
      </c>
      <c r="B20" s="14" t="n">
        <v>0.002</v>
      </c>
      <c r="C20" s="14" t="n">
        <v>0.002</v>
      </c>
      <c r="D20" s="14" t="n">
        <v>0.002</v>
      </c>
      <c r="E20" s="14" t="n">
        <v>0.002</v>
      </c>
      <c r="F20" s="14" t="n">
        <v>0.002</v>
      </c>
      <c r="G20" s="14" t="n">
        <v>0.002</v>
      </c>
      <c r="H20" s="14" t="n">
        <v>0.002</v>
      </c>
      <c r="I20" s="14" t="n">
        <v>0.002</v>
      </c>
      <c r="J20" s="14" t="n">
        <v>0.002</v>
      </c>
      <c r="K20" s="12">
        <f>CHOOSE(Scenario,B20,C20,D20)</f>
        <v/>
      </c>
      <c r="L20" s="12">
        <f>CHOOSE(Scenario,E20,F20,G20)</f>
        <v/>
      </c>
      <c r="M20" s="12">
        <f>CHOOSE(Scenario,H20,I20,J20)</f>
        <v/>
      </c>
    </row>
    <row r="21">
      <c r="A21" s="6" t="inlineStr">
        <is>
          <t>Net working capital as % of Delta rev</t>
        </is>
      </c>
      <c r="B21" s="14" t="n">
        <v>0.2</v>
      </c>
      <c r="C21" s="14" t="n">
        <v>0.2</v>
      </c>
      <c r="D21" s="14" t="n">
        <v>0.2</v>
      </c>
      <c r="E21" s="14" t="n">
        <v>0.2</v>
      </c>
      <c r="F21" s="14" t="n">
        <v>0.2</v>
      </c>
      <c r="G21" s="14" t="n">
        <v>0.2</v>
      </c>
      <c r="H21" s="14" t="n">
        <v>0.2</v>
      </c>
      <c r="I21" s="14" t="n">
        <v>0.2</v>
      </c>
      <c r="J21" s="14" t="n">
        <v>0.2</v>
      </c>
      <c r="K21" s="12">
        <f>CHOOSE(Scenario,B21,C21,D21)</f>
        <v/>
      </c>
      <c r="L21" s="12">
        <f>CHOOSE(Scenario,E21,F21,G21)</f>
        <v/>
      </c>
      <c r="M21" s="12">
        <f>CHOOSE(Scenario,H21,I21,J21)</f>
        <v/>
      </c>
    </row>
    <row r="22">
      <c r="A22" s="6" t="inlineStr">
        <is>
          <t>Diluted shares outstanding (M)</t>
        </is>
      </c>
      <c r="B22" s="15" t="n">
        <v>60</v>
      </c>
      <c r="C22" s="15" t="n">
        <v>60</v>
      </c>
      <c r="D22" s="15" t="n">
        <v>60</v>
      </c>
      <c r="E22" s="15" t="n">
        <v>60.5</v>
      </c>
      <c r="F22" s="15" t="n">
        <v>60</v>
      </c>
      <c r="G22" s="15" t="n">
        <v>59.5</v>
      </c>
      <c r="H22" s="15" t="n">
        <v>61</v>
      </c>
      <c r="I22" s="15" t="n">
        <v>60</v>
      </c>
      <c r="J22" s="15" t="n">
        <v>59</v>
      </c>
      <c r="K22" s="16">
        <f>CHOOSE(Scenario,B22,C22,D22)</f>
        <v/>
      </c>
      <c r="L22" s="16">
        <f>CHOOSE(Scenario,E22,F22,G22)</f>
        <v/>
      </c>
      <c r="M22" s="16">
        <f>CHOOSE(Scenario,H22,I22,J22)</f>
        <v/>
      </c>
    </row>
    <row r="23">
      <c r="A23" s="6" t="inlineStr">
        <is>
          <t>Non-operating income ($M)</t>
        </is>
      </c>
      <c r="B23" s="15" t="n">
        <v>0</v>
      </c>
      <c r="C23" s="15" t="n">
        <v>5</v>
      </c>
      <c r="D23" s="15" t="n">
        <v>10</v>
      </c>
      <c r="E23" s="15" t="n">
        <v>0</v>
      </c>
      <c r="F23" s="15" t="n">
        <v>5</v>
      </c>
      <c r="G23" s="15" t="n">
        <v>10</v>
      </c>
      <c r="H23" s="15" t="n">
        <v>0</v>
      </c>
      <c r="I23" s="15" t="n">
        <v>5</v>
      </c>
      <c r="J23" s="15" t="n">
        <v>10</v>
      </c>
      <c r="K23" s="16">
        <f>CHOOSE(Scenario,B23,C23,D23)</f>
        <v/>
      </c>
      <c r="L23" s="16">
        <f>CHOOSE(Scenario,E23,F23,G23)</f>
        <v/>
      </c>
      <c r="M23" s="16">
        <f>CHOOSE(Scenario,H23,I23,J23)</f>
        <v/>
      </c>
    </row>
    <row r="25">
      <c r="A25" s="5" t="inlineStr">
        <is>
          <t>VALUATION</t>
        </is>
      </c>
    </row>
    <row r="26">
      <c r="A26" s="6" t="inlineStr">
        <is>
          <t>Exit EV/EBITDA multiple (FY27)</t>
        </is>
      </c>
      <c r="B26" s="17" t="n">
        <v>12</v>
      </c>
      <c r="C26" s="17" t="n">
        <v>17</v>
      </c>
      <c r="D26" s="17" t="n">
        <v>22</v>
      </c>
      <c r="E26" s="17" t="n">
        <v>12</v>
      </c>
      <c r="F26" s="17" t="n">
        <v>17</v>
      </c>
      <c r="G26" s="17" t="n">
        <v>22</v>
      </c>
      <c r="H26" s="17" t="n">
        <v>12</v>
      </c>
      <c r="I26" s="17" t="n">
        <v>17</v>
      </c>
      <c r="J26" s="17" t="n">
        <v>22</v>
      </c>
      <c r="K26" s="18">
        <f>CHOOSE(Scenario,B26,C26,D26)</f>
        <v/>
      </c>
      <c r="L26" s="18">
        <f>CHOOSE(Scenario,E26,F26,G26)</f>
        <v/>
      </c>
      <c r="M26" s="18">
        <f>CHOOSE(Scenario,H26,I26,J26)</f>
        <v/>
      </c>
    </row>
    <row r="27">
      <c r="A27" s="6" t="inlineStr">
        <is>
          <t>WACC (%)</t>
        </is>
      </c>
      <c r="B27" s="14" t="n">
        <v>0.1</v>
      </c>
      <c r="C27" s="14" t="n">
        <v>0.09</v>
      </c>
      <c r="D27" s="14" t="n">
        <v>0.08</v>
      </c>
      <c r="E27" s="14" t="n">
        <v>0.1</v>
      </c>
      <c r="F27" s="14" t="n">
        <v>0.09</v>
      </c>
      <c r="G27" s="14" t="n">
        <v>0.08</v>
      </c>
      <c r="H27" s="14" t="n">
        <v>0.1</v>
      </c>
      <c r="I27" s="14" t="n">
        <v>0.09</v>
      </c>
      <c r="J27" s="14" t="n">
        <v>0.08</v>
      </c>
      <c r="K27" s="12">
        <f>CHOOSE(Scenario,B27,C27,D27)</f>
        <v/>
      </c>
      <c r="L27" s="12">
        <f>CHOOSE(Scenario,E27,F27,G27)</f>
        <v/>
      </c>
      <c r="M27" s="12">
        <f>CHOOSE(Scenario,H27,I27,J27)</f>
        <v/>
      </c>
    </row>
    <row r="28">
      <c r="A28" s="6" t="inlineStr">
        <is>
          <t>Terminal growth rate (%)</t>
        </is>
      </c>
      <c r="B28" s="14" t="n">
        <v>0.02</v>
      </c>
      <c r="C28" s="14" t="n">
        <v>0.025</v>
      </c>
      <c r="D28" s="14" t="n">
        <v>0.03</v>
      </c>
      <c r="E28" s="14" t="n">
        <v>0.02</v>
      </c>
      <c r="F28" s="14" t="n">
        <v>0.025</v>
      </c>
      <c r="G28" s="14" t="n">
        <v>0.03</v>
      </c>
      <c r="H28" s="14" t="n">
        <v>0.02</v>
      </c>
      <c r="I28" s="14" t="n">
        <v>0.025</v>
      </c>
      <c r="J28" s="14" t="n">
        <v>0.03</v>
      </c>
      <c r="K28" s="12">
        <f>CHOOSE(Scenario,B28,C28,D28)</f>
        <v/>
      </c>
      <c r="L28" s="12">
        <f>CHOOSE(Scenario,E28,F28,G28)</f>
        <v/>
      </c>
      <c r="M28" s="12">
        <f>CHOOSE(Scenario,H28,I28,J28)</f>
        <v/>
      </c>
    </row>
    <row r="29">
      <c r="A29" s="6" t="inlineStr">
        <is>
          <t>Cash at FY25 ($M)</t>
        </is>
      </c>
      <c r="B29" s="15" t="n">
        <v>197</v>
      </c>
      <c r="C29" s="15" t="n">
        <v>197</v>
      </c>
      <c r="D29" s="15" t="n">
        <v>197</v>
      </c>
      <c r="E29" s="15" t="n">
        <v>197</v>
      </c>
      <c r="F29" s="15" t="n">
        <v>197</v>
      </c>
      <c r="G29" s="15" t="n">
        <v>197</v>
      </c>
      <c r="H29" s="15" t="n">
        <v>197</v>
      </c>
      <c r="I29" s="15" t="n">
        <v>197</v>
      </c>
      <c r="J29" s="15" t="n">
        <v>197</v>
      </c>
      <c r="K29" s="16">
        <f>CHOOSE(Scenario,B29,C29,D29)</f>
        <v/>
      </c>
      <c r="L29" s="16">
        <f>CHOOSE(Scenario,E29,F29,G29)</f>
        <v/>
      </c>
      <c r="M29" s="16">
        <f>CHOOSE(Scenario,H29,I29,J29)</f>
        <v/>
      </c>
    </row>
    <row r="30">
      <c r="A30" s="6" t="inlineStr">
        <is>
          <t>Debt at FY25 ($M)</t>
        </is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6">
        <f>CHOOSE(Scenario,B30,C30,D30)</f>
        <v/>
      </c>
      <c r="L30" s="16">
        <f>CHOOSE(Scenario,E30,F30,G30)</f>
        <v/>
      </c>
      <c r="M30" s="16">
        <f>CHOOSE(Scenario,H30,I30,J30)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3" t="inlineStr">
        <is>
          <t>($000s unless noted)</t>
        </is>
      </c>
      <c r="B1" s="13" t="inlineStr">
        <is>
          <t>FY2019A</t>
        </is>
      </c>
      <c r="C1" s="13" t="inlineStr">
        <is>
          <t>FY2020A</t>
        </is>
      </c>
      <c r="D1" s="13" t="inlineStr">
        <is>
          <t>FY2021A</t>
        </is>
      </c>
      <c r="E1" s="13" t="inlineStr">
        <is>
          <t>FY2022A</t>
        </is>
      </c>
      <c r="F1" s="13" t="inlineStr">
        <is>
          <t>FY2023A</t>
        </is>
      </c>
      <c r="G1" s="13" t="inlineStr">
        <is>
          <t>FY2024A</t>
        </is>
      </c>
      <c r="H1" s="13" t="inlineStr">
        <is>
          <t>FY2025A</t>
        </is>
      </c>
    </row>
    <row r="2">
      <c r="A2" s="3" t="inlineStr">
        <is>
          <t>Net sales</t>
        </is>
      </c>
      <c r="B2" s="19" t="n">
        <v>283949000</v>
      </c>
      <c r="C2" s="19" t="n">
        <v>310644000</v>
      </c>
      <c r="D2" s="19" t="n">
        <v>379513000</v>
      </c>
      <c r="E2" s="19" t="n">
        <v>427787000</v>
      </c>
      <c r="F2" s="19" t="n">
        <v>493612000</v>
      </c>
      <c r="G2" s="19" t="n">
        <v>516013000</v>
      </c>
      <c r="H2" s="19" t="n">
        <v>609780000</v>
      </c>
    </row>
    <row r="3">
      <c r="A3" s="6" t="inlineStr">
        <is>
          <t>COGS</t>
        </is>
      </c>
      <c r="B3" s="19" t="n">
        <v>190961000</v>
      </c>
      <c r="C3" s="19" t="n">
        <v>205786000</v>
      </c>
      <c r="D3" s="19" t="n">
        <v>266365000</v>
      </c>
      <c r="E3" s="19" t="n">
        <v>324426000</v>
      </c>
      <c r="F3" s="19" t="n">
        <v>312883000</v>
      </c>
      <c r="G3" s="19" t="n">
        <v>317230000</v>
      </c>
      <c r="H3" s="19" t="n">
        <v>387185000</v>
      </c>
    </row>
    <row r="4">
      <c r="A4" s="3" t="inlineStr">
        <is>
          <t>Gross profit</t>
        </is>
      </c>
      <c r="B4" s="19" t="n">
        <v>92988000</v>
      </c>
      <c r="C4" s="19" t="n">
        <v>104858000</v>
      </c>
      <c r="D4" s="19" t="n">
        <v>113148000</v>
      </c>
      <c r="E4" s="19" t="n">
        <v>103361000</v>
      </c>
      <c r="F4" s="19" t="n">
        <v>180729000</v>
      </c>
      <c r="G4" s="19" t="n">
        <v>198783000</v>
      </c>
      <c r="H4" s="19" t="n">
        <v>222595000</v>
      </c>
    </row>
    <row r="5">
      <c r="A5" s="3" t="inlineStr">
        <is>
          <t>Gross margin</t>
        </is>
      </c>
      <c r="B5" s="8" t="n">
        <v>0.3274813434806955</v>
      </c>
      <c r="C5" s="8" t="n">
        <v>0.3375503792122172</v>
      </c>
      <c r="D5" s="8" t="n">
        <v>0.2981399846645569</v>
      </c>
      <c r="E5" s="8" t="n">
        <v>0.2416179079775683</v>
      </c>
      <c r="F5" s="8" t="n">
        <v>0.3661357503464259</v>
      </c>
      <c r="G5" s="8" t="n">
        <v>0.3852286667196369</v>
      </c>
      <c r="H5" s="8" t="n">
        <v>0.3650414903735774</v>
      </c>
    </row>
    <row r="6">
      <c r="A6" s="6" t="inlineStr">
        <is>
          <t>SG&amp;A</t>
        </is>
      </c>
      <c r="B6" s="19" t="n">
        <v>78917000</v>
      </c>
      <c r="C6" s="19" t="n">
        <v>74401000</v>
      </c>
      <c r="D6" s="19" t="n">
        <v>88559000</v>
      </c>
      <c r="E6" s="19" t="n">
        <v>100306000</v>
      </c>
      <c r="F6" s="19" t="n">
        <v>124236000</v>
      </c>
      <c r="G6" s="19" t="n">
        <v>124963000</v>
      </c>
      <c r="H6" s="19" t="n">
        <v>140063000</v>
      </c>
    </row>
    <row r="7">
      <c r="A7" s="3" t="inlineStr">
        <is>
          <t>Operating income</t>
        </is>
      </c>
      <c r="B7" s="19" t="n">
        <v>13371000</v>
      </c>
      <c r="C7" s="19" t="n">
        <v>46857000</v>
      </c>
      <c r="D7" s="19" t="n">
        <v>24589000</v>
      </c>
      <c r="E7" s="19" t="n">
        <v>3055000</v>
      </c>
      <c r="F7" s="19" t="n">
        <v>56493000</v>
      </c>
      <c r="G7" s="19" t="n">
        <v>73820000</v>
      </c>
      <c r="H7" s="19" t="n">
        <v>82532000</v>
      </c>
    </row>
    <row r="8">
      <c r="A8" s="3" t="inlineStr">
        <is>
          <t>Operating margin</t>
        </is>
      </c>
      <c r="B8" s="8" t="n">
        <v>0.04708944211812684</v>
      </c>
      <c r="C8" s="8" t="n">
        <v>0.1508382585853904</v>
      </c>
      <c r="D8" s="8" t="n">
        <v>0.06479092942797743</v>
      </c>
      <c r="E8" s="8" t="n">
        <v>0.007141404484007228</v>
      </c>
      <c r="F8" s="8" t="n">
        <v>0.1144481900764163</v>
      </c>
      <c r="G8" s="8" t="n">
        <v>0.1430584113190947</v>
      </c>
      <c r="H8" s="8" t="n">
        <v>0.1353471743907639</v>
      </c>
    </row>
    <row r="9">
      <c r="A9" s="3" t="inlineStr">
        <is>
          <t>Net income</t>
        </is>
      </c>
      <c r="B9" s="19" t="n">
        <v>9417000</v>
      </c>
      <c r="C9" s="19" t="n">
        <v>32660000</v>
      </c>
      <c r="D9" s="19" t="n">
        <v>19015000</v>
      </c>
      <c r="E9" s="19" t="n">
        <v>7814000</v>
      </c>
      <c r="F9" s="19" t="n">
        <v>46629000</v>
      </c>
      <c r="G9" s="19" t="n">
        <v>55952000</v>
      </c>
      <c r="H9" s="19" t="n">
        <v>71320000</v>
      </c>
    </row>
    <row r="10">
      <c r="A10" s="3" t="inlineStr">
        <is>
          <t>Net margin</t>
        </is>
      </c>
      <c r="B10" s="8" t="n">
        <v>0.03316440628422709</v>
      </c>
      <c r="C10" s="8" t="n">
        <v>0.1051364262628604</v>
      </c>
      <c r="D10" s="8" t="n">
        <v>0.05010368551274923</v>
      </c>
      <c r="E10" s="8" t="n">
        <v>0.01826609971785024</v>
      </c>
      <c r="F10" s="8" t="n">
        <v>0.09446488334967545</v>
      </c>
      <c r="G10" s="8" t="n">
        <v>0.1084313767288809</v>
      </c>
      <c r="H10" s="8" t="n">
        <v>0.1169602151595657</v>
      </c>
    </row>
    <row r="11">
      <c r="A11" s="3" t="inlineStr">
        <is>
          <t>Diluted EPS</t>
        </is>
      </c>
      <c r="B11" s="9" t="n">
        <v>0.16</v>
      </c>
      <c r="C11" s="9" t="n">
        <v>0.5600000000000001</v>
      </c>
      <c r="D11" s="9" t="n">
        <v>0.35</v>
      </c>
      <c r="E11" s="9" t="n">
        <v>0.14</v>
      </c>
      <c r="F11" s="9" t="n">
        <v>0.79</v>
      </c>
      <c r="G11" s="9" t="n">
        <v>0.9399999999999999</v>
      </c>
      <c r="H11" s="9" t="n">
        <v>1.19</v>
      </c>
    </row>
    <row r="12">
      <c r="A12" s="6" t="inlineStr">
        <is>
          <t>Diluted shares (M)</t>
        </is>
      </c>
      <c r="B12" s="7" t="n">
        <v>57.15255</v>
      </c>
      <c r="C12" s="7" t="n">
        <v>58.610825</v>
      </c>
      <c r="D12" s="7" t="n">
        <v>54.186121</v>
      </c>
      <c r="E12" s="7" t="n">
        <v>56.123661</v>
      </c>
      <c r="F12" s="7" t="n">
        <v>58.747338</v>
      </c>
      <c r="G12" s="7" t="n">
        <v>59.286562</v>
      </c>
      <c r="H12" s="7" t="n">
        <v>59.967691</v>
      </c>
    </row>
    <row r="13">
      <c r="A13" s="6" t="inlineStr">
        <is>
          <t>CFO</t>
        </is>
      </c>
      <c r="B13" s="19" t="n">
        <v>21765000</v>
      </c>
      <c r="C13" s="19" t="n">
        <v>33323000</v>
      </c>
      <c r="D13" s="19" t="n">
        <v>-16166000</v>
      </c>
      <c r="E13" s="19" t="n">
        <v>-10935000</v>
      </c>
      <c r="F13" s="19" t="n">
        <v>107155000</v>
      </c>
      <c r="G13" s="19" t="n">
        <v>42899000</v>
      </c>
      <c r="H13" s="19" t="n">
        <v>47174000</v>
      </c>
    </row>
    <row r="14">
      <c r="A14" s="6" t="inlineStr">
        <is>
          <t>Capex</t>
        </is>
      </c>
      <c r="B14" s="19" t="n">
        <v>1009000</v>
      </c>
      <c r="C14" s="19" t="n">
        <v>392000</v>
      </c>
      <c r="D14" s="19" t="n">
        <v>557000</v>
      </c>
      <c r="E14" s="19" t="n">
        <v>982000</v>
      </c>
      <c r="F14" s="19" t="n">
        <v>599000</v>
      </c>
      <c r="G14" s="19" t="n">
        <v>974000</v>
      </c>
      <c r="H14" s="19" t="n">
        <v>8149000</v>
      </c>
    </row>
    <row r="15">
      <c r="A15" s="3" t="inlineStr">
        <is>
          <t>FCF (CFO - Capex)</t>
        </is>
      </c>
      <c r="B15" s="19" t="n">
        <v>20756000</v>
      </c>
      <c r="C15" s="19" t="n">
        <v>32931000</v>
      </c>
      <c r="D15" s="19" t="n">
        <v>-16723000</v>
      </c>
      <c r="E15" s="19" t="n">
        <v>-11917000</v>
      </c>
      <c r="F15" s="19" t="n">
        <v>106556000</v>
      </c>
      <c r="G15" s="19" t="n">
        <v>41925000</v>
      </c>
      <c r="H15" s="19" t="n">
        <v>39025000</v>
      </c>
    </row>
    <row r="16">
      <c r="A16" s="6" t="inlineStr">
        <is>
          <t>Cash &amp; equivalents</t>
        </is>
      </c>
      <c r="B16" s="19" t="n"/>
      <c r="C16" s="19" t="n">
        <v>72181000</v>
      </c>
      <c r="D16" s="19" t="n">
        <v>28690000</v>
      </c>
      <c r="E16" s="19" t="n">
        <v>19629000</v>
      </c>
      <c r="F16" s="19" t="n">
        <v>132537000</v>
      </c>
      <c r="G16" s="19" t="n">
        <v>164669000</v>
      </c>
      <c r="H16" s="19" t="n">
        <v>196873000</v>
      </c>
    </row>
    <row r="17">
      <c r="A17" s="6" t="inlineStr">
        <is>
          <t>Inventory</t>
        </is>
      </c>
      <c r="B17" s="19" t="n"/>
      <c r="C17" s="19" t="n">
        <v>31967000</v>
      </c>
      <c r="D17" s="19" t="n">
        <v>75360000</v>
      </c>
      <c r="E17" s="19" t="n">
        <v>84115000</v>
      </c>
      <c r="F17" s="19" t="n">
        <v>50757000</v>
      </c>
      <c r="G17" s="19" t="n">
        <v>83600000</v>
      </c>
      <c r="H17" s="19" t="n">
        <v>111468000</v>
      </c>
    </row>
    <row r="18">
      <c r="A18" s="6" t="inlineStr">
        <is>
          <t>Accounts receivable</t>
        </is>
      </c>
      <c r="B18" s="19" t="n"/>
      <c r="C18" s="19" t="n">
        <v>30504000</v>
      </c>
      <c r="D18" s="19" t="n">
        <v>47195000</v>
      </c>
      <c r="E18" s="19" t="n">
        <v>43350000</v>
      </c>
      <c r="F18" s="19" t="n">
        <v>50086000</v>
      </c>
      <c r="G18" s="19" t="n">
        <v>63450000</v>
      </c>
      <c r="H18" s="19" t="n">
        <v>81514000</v>
      </c>
    </row>
    <row r="19">
      <c r="A19" s="6" t="inlineStr">
        <is>
          <t>Total assets</t>
        </is>
      </c>
      <c r="B19" s="19" t="n"/>
      <c r="C19" s="19" t="n">
        <v>183861000</v>
      </c>
      <c r="D19" s="19" t="n">
        <v>197484000</v>
      </c>
      <c r="E19" s="19" t="n">
        <v>197757000</v>
      </c>
      <c r="F19" s="19" t="n">
        <v>285682000</v>
      </c>
      <c r="G19" s="19" t="n">
        <v>362381000</v>
      </c>
      <c r="H19" s="19" t="n">
        <v>461158000</v>
      </c>
    </row>
    <row r="20">
      <c r="A20" s="6" t="inlineStr">
        <is>
          <t>Stockholders' equity</t>
        </is>
      </c>
      <c r="B20" s="19" t="n"/>
      <c r="C20" s="19" t="n">
        <v>102221000</v>
      </c>
      <c r="D20" s="19" t="n">
        <v>123173000</v>
      </c>
      <c r="E20" s="19" t="n">
        <v>141093000</v>
      </c>
      <c r="F20" s="19" t="n">
        <v>202437000</v>
      </c>
      <c r="G20" s="19" t="n">
        <v>258817000</v>
      </c>
      <c r="H20" s="19" t="n">
        <v>331542000</v>
      </c>
    </row>
    <row r="22">
      <c r="A22" s="20" t="inlineStr">
        <is>
          <t>Source: extracted/annual.csv (XBRL companyfacts) -- backed by 10-Ks in raw/filings/</t>
        </is>
      </c>
    </row>
    <row r="24">
      <c r="A24" s="5" t="inlineStr">
        <is>
          <t>Net sales by segment x brand ($000s)</t>
        </is>
      </c>
    </row>
    <row r="25">
      <c r="A25" s="5" t="inlineStr"/>
      <c r="B25" s="5" t="inlineStr">
        <is>
          <t>FY2022A</t>
        </is>
      </c>
      <c r="C25" s="5" t="inlineStr">
        <is>
          <t>FY2023A</t>
        </is>
      </c>
      <c r="D25" s="5" t="inlineStr">
        <is>
          <t>FY2024A</t>
        </is>
      </c>
      <c r="E25" s="5" t="inlineStr">
        <is>
          <t>FY2025A</t>
        </is>
      </c>
    </row>
    <row r="26">
      <c r="A26" s="6" t="inlineStr">
        <is>
          <t xml:space="preserve">  Americas - Vita Coco Coconut Water</t>
        </is>
      </c>
      <c r="B26" s="19" t="n">
        <v>275964</v>
      </c>
      <c r="C26" s="19" t="n">
        <v>317221</v>
      </c>
      <c r="D26" s="19" t="n">
        <v>343288</v>
      </c>
      <c r="E26" s="19" t="n">
        <v>424319</v>
      </c>
    </row>
    <row r="27">
      <c r="A27" s="6" t="inlineStr">
        <is>
          <t xml:space="preserve">  Americas - Private Label</t>
        </is>
      </c>
      <c r="B27" s="19" t="n">
        <v>88173</v>
      </c>
      <c r="C27" s="19" t="n">
        <v>103166</v>
      </c>
      <c r="D27" s="19" t="n">
        <v>89900</v>
      </c>
      <c r="E27" s="19" t="n">
        <v>62731</v>
      </c>
    </row>
    <row r="28">
      <c r="A28" s="6" t="inlineStr">
        <is>
          <t xml:space="preserve">  Americas - Other</t>
        </is>
      </c>
      <c r="B28" s="19" t="n">
        <v>9485</v>
      </c>
      <c r="C28" s="19" t="n">
        <v>9858</v>
      </c>
      <c r="D28" s="19" t="n">
        <v>9155</v>
      </c>
      <c r="E28" s="19" t="n">
        <v>21723</v>
      </c>
    </row>
    <row r="29">
      <c r="A29" s="3" t="inlineStr">
        <is>
          <t xml:space="preserve">  Americas subtotal</t>
        </is>
      </c>
      <c r="B29" s="21" t="n">
        <v>373622</v>
      </c>
      <c r="C29" s="21" t="n">
        <v>430245</v>
      </c>
      <c r="D29" s="21" t="n">
        <v>442343</v>
      </c>
      <c r="E29" s="21" t="n">
        <v>508773</v>
      </c>
    </row>
    <row r="30">
      <c r="A30" s="6" t="inlineStr">
        <is>
          <t xml:space="preserve">  International - Vita Coco Coconut Water</t>
        </is>
      </c>
      <c r="B30" s="19" t="n">
        <v>38570</v>
      </c>
      <c r="C30" s="19" t="n">
        <v>41829</v>
      </c>
      <c r="D30" s="19" t="n">
        <v>50318</v>
      </c>
      <c r="E30" s="19" t="n">
        <v>71943</v>
      </c>
    </row>
    <row r="31">
      <c r="A31" s="6" t="inlineStr">
        <is>
          <t xml:space="preserve">  International - Private Label</t>
        </is>
      </c>
      <c r="B31" s="19" t="n">
        <v>12855</v>
      </c>
      <c r="C31" s="19" t="n">
        <v>18713</v>
      </c>
      <c r="D31" s="19" t="n">
        <v>19324</v>
      </c>
      <c r="E31" s="19" t="n">
        <v>25951</v>
      </c>
    </row>
    <row r="32">
      <c r="A32" s="6" t="inlineStr">
        <is>
          <t xml:space="preserve">  International - Other</t>
        </is>
      </c>
      <c r="B32" s="19" t="n">
        <v>2740</v>
      </c>
      <c r="C32" s="19" t="n">
        <v>2825</v>
      </c>
      <c r="D32" s="19" t="n">
        <v>4028</v>
      </c>
      <c r="E32" s="19" t="n">
        <v>3113</v>
      </c>
    </row>
    <row r="33">
      <c r="A33" s="3" t="inlineStr">
        <is>
          <t xml:space="preserve">  International subtotal</t>
        </is>
      </c>
      <c r="B33" s="21" t="n">
        <v>54165</v>
      </c>
      <c r="C33" s="21" t="n">
        <v>63367</v>
      </c>
      <c r="D33" s="21" t="n">
        <v>73670</v>
      </c>
      <c r="E33" s="21" t="n">
        <v>101007</v>
      </c>
    </row>
    <row r="35">
      <c r="A35" s="20" t="inlineStr">
        <is>
          <t>Source: extracted/segment_history.csv (parsed from 8-K Ex 99.1 press releases)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3" t="inlineStr">
        <is>
          <t>INCOME STATEMENT ($000s)</t>
        </is>
      </c>
      <c r="B1" s="13" t="inlineStr">
        <is>
          <t>FY2025A</t>
        </is>
      </c>
      <c r="C1" s="13" t="inlineStr">
        <is>
          <t>FY2026E</t>
        </is>
      </c>
      <c r="D1" s="13" t="inlineStr">
        <is>
          <t>FY2027E</t>
        </is>
      </c>
      <c r="E1" s="13" t="inlineStr">
        <is>
          <t>FY2028E</t>
        </is>
      </c>
    </row>
    <row r="2">
      <c r="A2" s="6" t="inlineStr">
        <is>
          <t>Americas - Vita Coco Coconut Water</t>
        </is>
      </c>
      <c r="B2" s="19" t="n">
        <v>424319</v>
      </c>
      <c r="C2" s="19">
        <f>B2*(1+Assumptions!K4)</f>
        <v/>
      </c>
      <c r="D2" s="19">
        <f>C2*(1+Assumptions!L4)</f>
        <v/>
      </c>
      <c r="E2" s="19">
        <f>D2*(1+Assumptions!M4)</f>
        <v/>
      </c>
    </row>
    <row r="3">
      <c r="A3" s="6" t="inlineStr">
        <is>
          <t>Americas - Private Label</t>
        </is>
      </c>
      <c r="B3" s="19" t="n">
        <v>62731</v>
      </c>
      <c r="C3" s="19">
        <f>B3*(1+Assumptions!K5)</f>
        <v/>
      </c>
      <c r="D3" s="19">
        <f>C3*(1+Assumptions!L5)</f>
        <v/>
      </c>
      <c r="E3" s="19">
        <f>D3*(1+Assumptions!M5)</f>
        <v/>
      </c>
    </row>
    <row r="4">
      <c r="A4" s="6" t="inlineStr">
        <is>
          <t>Americas - Other</t>
        </is>
      </c>
      <c r="B4" s="19" t="n">
        <v>21723</v>
      </c>
      <c r="C4" s="19">
        <f>B4*(1+Assumptions!K6)</f>
        <v/>
      </c>
      <c r="D4" s="19">
        <f>C4*(1+Assumptions!L6)</f>
        <v/>
      </c>
      <c r="E4" s="19">
        <f>D4*(1+Assumptions!M6)</f>
        <v/>
      </c>
    </row>
    <row r="5">
      <c r="A5" s="6" t="inlineStr">
        <is>
          <t>International - Vita Coco Coconut Water</t>
        </is>
      </c>
      <c r="B5" s="19" t="n">
        <v>71943</v>
      </c>
      <c r="C5" s="19">
        <f>B5*(1+Assumptions!K7)</f>
        <v/>
      </c>
      <c r="D5" s="19">
        <f>C5*(1+Assumptions!L7)</f>
        <v/>
      </c>
      <c r="E5" s="19">
        <f>D5*(1+Assumptions!M7)</f>
        <v/>
      </c>
    </row>
    <row r="6">
      <c r="A6" s="6" t="inlineStr">
        <is>
          <t>International - Private Label</t>
        </is>
      </c>
      <c r="B6" s="19" t="n">
        <v>25951</v>
      </c>
      <c r="C6" s="19">
        <f>B6*(1+Assumptions!K8)</f>
        <v/>
      </c>
      <c r="D6" s="19">
        <f>C6*(1+Assumptions!L8)</f>
        <v/>
      </c>
      <c r="E6" s="19">
        <f>D6*(1+Assumptions!M8)</f>
        <v/>
      </c>
    </row>
    <row r="7">
      <c r="A7" s="6" t="inlineStr">
        <is>
          <t>International - Other</t>
        </is>
      </c>
      <c r="B7" s="19" t="n">
        <v>3113</v>
      </c>
      <c r="C7" s="19">
        <f>B7*(1+Assumptions!K9)</f>
        <v/>
      </c>
      <c r="D7" s="19">
        <f>C7*(1+Assumptions!L9)</f>
        <v/>
      </c>
      <c r="E7" s="19">
        <f>D7*(1+Assumptions!M9)</f>
        <v/>
      </c>
    </row>
    <row r="8">
      <c r="A8" s="22" t="inlineStr">
        <is>
          <t xml:space="preserve">  Net sales (total)</t>
        </is>
      </c>
      <c r="B8" s="21">
        <f>SUM(B2:B7)</f>
        <v/>
      </c>
      <c r="C8" s="21">
        <f>SUM(C2:C7)</f>
        <v/>
      </c>
      <c r="D8" s="21">
        <f>SUM(D2:D7)</f>
        <v/>
      </c>
      <c r="E8" s="21">
        <f>SUM(E2:E7)</f>
        <v/>
      </c>
    </row>
    <row r="10">
      <c r="A10" s="6" t="inlineStr">
        <is>
          <t xml:space="preserve">  Americas subtotal</t>
        </is>
      </c>
      <c r="B10" s="23">
        <f>SUM(B2:B4)</f>
        <v/>
      </c>
      <c r="C10" s="23">
        <f>SUM(C2:C4)</f>
        <v/>
      </c>
      <c r="D10" s="23">
        <f>SUM(D2:D4)</f>
        <v/>
      </c>
      <c r="E10" s="23">
        <f>SUM(E2:E4)</f>
        <v/>
      </c>
    </row>
    <row r="11">
      <c r="A11" s="6" t="inlineStr">
        <is>
          <t xml:space="preserve">  International subtotal</t>
        </is>
      </c>
      <c r="B11" s="23">
        <f>SUM(B5:B7)</f>
        <v/>
      </c>
      <c r="C11" s="23">
        <f>SUM(C5:C7)</f>
        <v/>
      </c>
      <c r="D11" s="23">
        <f>SUM(D5:D7)</f>
        <v/>
      </c>
      <c r="E11" s="23">
        <f>SUM(E5:E7)</f>
        <v/>
      </c>
    </row>
    <row r="12">
      <c r="A12" s="6" t="inlineStr">
        <is>
          <t xml:space="preserve">  GP - Americas</t>
        </is>
      </c>
      <c r="B12" s="23" t="n">
        <v>187309</v>
      </c>
      <c r="C12" s="23">
        <f>C10*Assumptions!K12</f>
        <v/>
      </c>
      <c r="D12" s="23">
        <f>D10*Assumptions!L12</f>
        <v/>
      </c>
      <c r="E12" s="23">
        <f>E10*Assumptions!M12</f>
        <v/>
      </c>
    </row>
    <row r="13">
      <c r="A13" s="6" t="inlineStr">
        <is>
          <t xml:space="preserve">  GP - International</t>
        </is>
      </c>
      <c r="B13" s="23" t="n">
        <v>35286</v>
      </c>
      <c r="C13" s="23">
        <f>C11*Assumptions!K13</f>
        <v/>
      </c>
      <c r="D13" s="23">
        <f>D11*Assumptions!L13</f>
        <v/>
      </c>
      <c r="E13" s="23">
        <f>E11*Assumptions!M13</f>
        <v/>
      </c>
    </row>
    <row r="14">
      <c r="A14" s="22" t="inlineStr">
        <is>
          <t>Gross profit</t>
        </is>
      </c>
      <c r="B14" s="21">
        <f>B12+B13</f>
        <v/>
      </c>
      <c r="C14" s="21">
        <f>C12+C13</f>
        <v/>
      </c>
      <c r="D14" s="21">
        <f>D12+D13</f>
        <v/>
      </c>
      <c r="E14" s="21">
        <f>E12+E13</f>
        <v/>
      </c>
    </row>
    <row r="15">
      <c r="A15" s="6" t="inlineStr">
        <is>
          <t xml:space="preserve">  Gross margin</t>
        </is>
      </c>
      <c r="B15" s="24">
        <f>B14/B8</f>
        <v/>
      </c>
      <c r="C15" s="24">
        <f>C14/C8</f>
        <v/>
      </c>
      <c r="D15" s="24">
        <f>D14/D8</f>
        <v/>
      </c>
      <c r="E15" s="24">
        <f>E14/E8</f>
        <v/>
      </c>
    </row>
    <row r="17">
      <c r="A17" s="6" t="inlineStr">
        <is>
          <t>SG&amp;A</t>
        </is>
      </c>
      <c r="B17" s="23" t="n">
        <v>140063</v>
      </c>
      <c r="C17" s="23">
        <f>C8*Assumptions!K16</f>
        <v/>
      </c>
      <c r="D17" s="23">
        <f>D8*Assumptions!L16</f>
        <v/>
      </c>
      <c r="E17" s="23">
        <f>E8*Assumptions!M16</f>
        <v/>
      </c>
    </row>
    <row r="18">
      <c r="A18" s="3" t="inlineStr">
        <is>
          <t>Operating income</t>
        </is>
      </c>
      <c r="B18" s="25">
        <f>B14-B17</f>
        <v/>
      </c>
      <c r="C18" s="25">
        <f>C14-C17</f>
        <v/>
      </c>
      <c r="D18" s="25">
        <f>D14-D17</f>
        <v/>
      </c>
      <c r="E18" s="25">
        <f>E14-E17</f>
        <v/>
      </c>
    </row>
    <row r="19">
      <c r="A19" s="6" t="inlineStr">
        <is>
          <t xml:space="preserve">  Operating margin</t>
        </is>
      </c>
      <c r="B19" s="24">
        <f>B18/B8</f>
        <v/>
      </c>
      <c r="C19" s="24">
        <f>C18/C8</f>
        <v/>
      </c>
      <c r="D19" s="24">
        <f>D18/D8</f>
        <v/>
      </c>
      <c r="E19" s="24">
        <f>E18/E8</f>
        <v/>
      </c>
    </row>
    <row r="20">
      <c r="A20" s="6" t="inlineStr">
        <is>
          <t>Non-operating income (FX/int.)</t>
        </is>
      </c>
      <c r="B20" s="23" t="n">
        <v>10439</v>
      </c>
      <c r="C20" s="23">
        <f>Assumptions!K23*1000</f>
        <v/>
      </c>
      <c r="D20" s="23">
        <f>Assumptions!L23*1000</f>
        <v/>
      </c>
      <c r="E20" s="23">
        <f>Assumptions!M23*1000</f>
        <v/>
      </c>
    </row>
    <row r="21">
      <c r="A21" s="6" t="inlineStr">
        <is>
          <t>Pretax income</t>
        </is>
      </c>
      <c r="B21" s="23">
        <f>B18+B20</f>
        <v/>
      </c>
      <c r="C21" s="23">
        <f>C18+C20</f>
        <v/>
      </c>
      <c r="D21" s="23">
        <f>D18+D20</f>
        <v/>
      </c>
      <c r="E21" s="23">
        <f>E18+E20</f>
        <v/>
      </c>
    </row>
    <row r="22">
      <c r="A22" s="6" t="inlineStr">
        <is>
          <t xml:space="preserve">  Income tax</t>
        </is>
      </c>
      <c r="B22" s="23" t="n">
        <v>21651</v>
      </c>
      <c r="C22" s="23">
        <f>C21*Assumptions!K17</f>
        <v/>
      </c>
      <c r="D22" s="23">
        <f>D21*Assumptions!L17</f>
        <v/>
      </c>
      <c r="E22" s="23">
        <f>E21*Assumptions!M17</f>
        <v/>
      </c>
    </row>
    <row r="23">
      <c r="A23" s="22" t="inlineStr">
        <is>
          <t>Net income</t>
        </is>
      </c>
      <c r="B23" s="21">
        <f>B21-B22</f>
        <v/>
      </c>
      <c r="C23" s="21">
        <f>C21-C22</f>
        <v/>
      </c>
      <c r="D23" s="21">
        <f>D21-D22</f>
        <v/>
      </c>
      <c r="E23" s="21">
        <f>E21-E22</f>
        <v/>
      </c>
    </row>
    <row r="24">
      <c r="A24" s="6" t="inlineStr">
        <is>
          <t xml:space="preserve">  D&amp;A (memo)</t>
        </is>
      </c>
      <c r="B24" s="23" t="n">
        <v>1072</v>
      </c>
      <c r="C24" s="23">
        <f>C8*Assumptions!K18</f>
        <v/>
      </c>
      <c r="D24" s="23">
        <f>D8*Assumptions!L18</f>
        <v/>
      </c>
      <c r="E24" s="23">
        <f>E8*Assumptions!M18</f>
        <v/>
      </c>
    </row>
    <row r="25">
      <c r="A25" s="6" t="inlineStr">
        <is>
          <t xml:space="preserve">  Stock-based comp (memo)</t>
        </is>
      </c>
      <c r="B25" s="23" t="n">
        <v>10843</v>
      </c>
      <c r="C25" s="23">
        <f>C8*Assumptions!K19</f>
        <v/>
      </c>
      <c r="D25" s="23">
        <f>D8*Assumptions!L19</f>
        <v/>
      </c>
      <c r="E25" s="23">
        <f>E8*Assumptions!M19</f>
        <v/>
      </c>
    </row>
    <row r="26">
      <c r="A26" s="22" t="inlineStr">
        <is>
          <t>Adj EBITDA</t>
        </is>
      </c>
      <c r="B26" s="21">
        <f>B18+B24+B25</f>
        <v/>
      </c>
      <c r="C26" s="21">
        <f>C18+C24+C25</f>
        <v/>
      </c>
      <c r="D26" s="21">
        <f>D18+D24+D25</f>
        <v/>
      </c>
      <c r="E26" s="21">
        <f>E18+E24+E25</f>
        <v/>
      </c>
    </row>
    <row r="27">
      <c r="A27" s="6" t="inlineStr">
        <is>
          <t xml:space="preserve">  Adj EBITDA margin</t>
        </is>
      </c>
      <c r="B27" s="24">
        <f>B26/B8</f>
        <v/>
      </c>
      <c r="C27" s="24">
        <f>C26/C8</f>
        <v/>
      </c>
      <c r="D27" s="24">
        <f>D26/D8</f>
        <v/>
      </c>
      <c r="E27" s="24">
        <f>E26/E8</f>
        <v/>
      </c>
    </row>
    <row r="29">
      <c r="A29" s="6" t="inlineStr">
        <is>
          <t xml:space="preserve">  Diluted shares (M)</t>
        </is>
      </c>
      <c r="B29" s="26" t="n">
        <v>59.967691</v>
      </c>
      <c r="C29" s="26">
        <f>Assumptions!K22</f>
        <v/>
      </c>
      <c r="D29" s="26">
        <f>Assumptions!L22</f>
        <v/>
      </c>
      <c r="E29" s="26">
        <f>Assumptions!M22</f>
        <v/>
      </c>
    </row>
    <row r="31">
      <c r="A31" s="3" t="inlineStr">
        <is>
          <t>Diluted EPS</t>
        </is>
      </c>
      <c r="B31" s="27">
        <f>B23/B29/1000</f>
        <v/>
      </c>
      <c r="C31" s="27">
        <f>C23/C29/1000</f>
        <v/>
      </c>
      <c r="D31" s="27">
        <f>D23/D29/1000</f>
        <v/>
      </c>
      <c r="E31" s="27">
        <f>E23/E29/1000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3" t="inlineStr">
        <is>
          <t>BALANCE SHEET ($000s)</t>
        </is>
      </c>
      <c r="B1" s="13" t="inlineStr">
        <is>
          <t>FY2025A</t>
        </is>
      </c>
      <c r="C1" s="13" t="inlineStr">
        <is>
          <t>FY2026E</t>
        </is>
      </c>
      <c r="D1" s="13" t="inlineStr">
        <is>
          <t>FY2027E</t>
        </is>
      </c>
      <c r="E1" s="13" t="inlineStr">
        <is>
          <t>FY2028E</t>
        </is>
      </c>
    </row>
    <row r="2">
      <c r="A2" s="6" t="inlineStr">
        <is>
          <t>Cash &amp; equivalents</t>
        </is>
      </c>
      <c r="B2" s="23" t="n">
        <v>196873</v>
      </c>
      <c r="C2" s="23">
        <f>B2+CF!C11</f>
        <v/>
      </c>
      <c r="D2" s="23">
        <f>C2+CF!D11</f>
        <v/>
      </c>
      <c r="E2" s="23">
        <f>D2+CF!E11</f>
        <v/>
      </c>
    </row>
    <row r="3">
      <c r="A3" s="6" t="inlineStr">
        <is>
          <t>Accounts receivable</t>
        </is>
      </c>
      <c r="B3" s="23" t="n">
        <v>81514</v>
      </c>
      <c r="C3" s="23">
        <f>IS!C8*0.133678</f>
        <v/>
      </c>
      <c r="D3" s="23">
        <f>IS!D8*0.133678</f>
        <v/>
      </c>
      <c r="E3" s="23">
        <f>IS!E8*0.133678</f>
        <v/>
      </c>
    </row>
    <row r="4">
      <c r="A4" s="6" t="inlineStr">
        <is>
          <t>Inventory</t>
        </is>
      </c>
      <c r="B4" s="23" t="n">
        <v>111468</v>
      </c>
      <c r="C4" s="23">
        <f>IS!C8*0.182800</f>
        <v/>
      </c>
      <c r="D4" s="23">
        <f>IS!D8*0.182800</f>
        <v/>
      </c>
      <c r="E4" s="23">
        <f>IS!E8*0.182800</f>
        <v/>
      </c>
    </row>
    <row r="5">
      <c r="A5" s="6" t="inlineStr">
        <is>
          <t>Other current assets</t>
        </is>
      </c>
      <c r="B5" s="23" t="n">
        <v>31585</v>
      </c>
      <c r="C5" s="23">
        <f>IS!C8*0.051797</f>
        <v/>
      </c>
      <c r="D5" s="23">
        <f>IS!D8*0.051797</f>
        <v/>
      </c>
      <c r="E5" s="23">
        <f>IS!E8*0.051797</f>
        <v/>
      </c>
    </row>
    <row r="6">
      <c r="A6" s="3" t="inlineStr">
        <is>
          <t xml:space="preserve">  Total current assets</t>
        </is>
      </c>
      <c r="B6" s="23">
        <f>SUM(B2:B5)</f>
        <v/>
      </c>
      <c r="C6" s="23">
        <f>SUM(C2:C5)</f>
        <v/>
      </c>
      <c r="D6" s="23">
        <f>SUM(D2:D5)</f>
        <v/>
      </c>
      <c r="E6" s="23">
        <f>SUM(E2:E5)</f>
        <v/>
      </c>
    </row>
    <row r="7">
      <c r="A7" s="6" t="inlineStr">
        <is>
          <t>PP&amp;E + intangibles + other</t>
        </is>
      </c>
      <c r="B7" s="23" t="n">
        <v>39718</v>
      </c>
      <c r="C7" s="23">
        <f>IS!C8*0.065135</f>
        <v/>
      </c>
      <c r="D7" s="23">
        <f>IS!D8*0.065135</f>
        <v/>
      </c>
      <c r="E7" s="23">
        <f>IS!E8*0.065135</f>
        <v/>
      </c>
    </row>
    <row r="8">
      <c r="A8" s="3" t="inlineStr">
        <is>
          <t>TOTAL ASSETS</t>
        </is>
      </c>
      <c r="B8" s="23">
        <f>B6+B7</f>
        <v/>
      </c>
      <c r="C8" s="23">
        <f>C6+C7</f>
        <v/>
      </c>
      <c r="D8" s="23">
        <f>D6+D7</f>
        <v/>
      </c>
      <c r="E8" s="23">
        <f>E6+E7</f>
        <v/>
      </c>
    </row>
    <row r="9">
      <c r="A9" s="6" t="inlineStr">
        <is>
          <t>Accounts payable</t>
        </is>
      </c>
      <c r="B9" s="23" t="n">
        <v>25464</v>
      </c>
      <c r="C9" s="23">
        <f>IS!C8*0.041759</f>
        <v/>
      </c>
      <c r="D9" s="23">
        <f>IS!D8*0.041759</f>
        <v/>
      </c>
      <c r="E9" s="23">
        <f>IS!E8*0.041759</f>
        <v/>
      </c>
    </row>
    <row r="10">
      <c r="A10" s="6" t="inlineStr">
        <is>
          <t>Other current liab</t>
        </is>
      </c>
      <c r="B10" s="23" t="n">
        <v>90968</v>
      </c>
      <c r="C10" s="23">
        <f>IS!C8*0.149182</f>
        <v/>
      </c>
      <c r="D10" s="23">
        <f>IS!D8*0.149182</f>
        <v/>
      </c>
      <c r="E10" s="23">
        <f>IS!E8*0.149182</f>
        <v/>
      </c>
    </row>
    <row r="11">
      <c r="A11" s="6" t="inlineStr">
        <is>
          <t>Non-current liab</t>
        </is>
      </c>
      <c r="B11" s="23" t="n">
        <v>13184</v>
      </c>
      <c r="C11" s="23">
        <f>IS!C8*0.021621</f>
        <v/>
      </c>
      <c r="D11" s="23">
        <f>IS!D8*0.021621</f>
        <v/>
      </c>
      <c r="E11" s="23">
        <f>IS!E8*0.021621</f>
        <v/>
      </c>
    </row>
    <row r="12">
      <c r="A12" s="3" t="inlineStr">
        <is>
          <t>TOTAL LIABILITIES</t>
        </is>
      </c>
      <c r="B12" s="23">
        <f>SUM(B9:B11)</f>
        <v/>
      </c>
      <c r="C12" s="23">
        <f>SUM(C9:C11)</f>
        <v/>
      </c>
      <c r="D12" s="23">
        <f>SUM(D9:D11)</f>
        <v/>
      </c>
      <c r="E12" s="23">
        <f>SUM(E9:E11)</f>
        <v/>
      </c>
    </row>
    <row r="13">
      <c r="A13" s="6" t="inlineStr">
        <is>
          <t>Stockholders' equity</t>
        </is>
      </c>
      <c r="B13" s="23" t="n">
        <v>331542</v>
      </c>
      <c r="C13" s="23">
        <f>B13+IS!C23-15000</f>
        <v/>
      </c>
      <c r="D13" s="23">
        <f>C13+IS!D23-15000</f>
        <v/>
      </c>
      <c r="E13" s="23">
        <f>D13+IS!E23-15000</f>
        <v/>
      </c>
    </row>
    <row r="14">
      <c r="A14" s="3" t="inlineStr">
        <is>
          <t>TOTAL LIAB. &amp; EQUITY</t>
        </is>
      </c>
      <c r="B14" s="23">
        <f>B12+B13</f>
        <v/>
      </c>
      <c r="C14" s="23">
        <f>C12+C13</f>
        <v/>
      </c>
      <c r="D14" s="23">
        <f>D12+D13</f>
        <v/>
      </c>
      <c r="E14" s="23">
        <f>E12+E13</f>
        <v/>
      </c>
    </row>
    <row r="15">
      <c r="A15" s="3" t="inlineStr">
        <is>
          <t>Check (Assets - L&amp;E)</t>
        </is>
      </c>
      <c r="B15" s="23">
        <f>B8-B14</f>
        <v/>
      </c>
      <c r="C15" s="23">
        <f>C8-C14</f>
        <v/>
      </c>
      <c r="D15" s="23">
        <f>D8-D14</f>
        <v/>
      </c>
      <c r="E15" s="23">
        <f>E8-E14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3" t="inlineStr">
        <is>
          <t>CASH FLOW ($000s)</t>
        </is>
      </c>
      <c r="B1" s="13" t="inlineStr">
        <is>
          <t>FY2025A</t>
        </is>
      </c>
      <c r="C1" s="13" t="inlineStr">
        <is>
          <t>FY2026E</t>
        </is>
      </c>
      <c r="D1" s="13" t="inlineStr">
        <is>
          <t>FY2027E</t>
        </is>
      </c>
      <c r="E1" s="13" t="inlineStr">
        <is>
          <t>FY2028E</t>
        </is>
      </c>
    </row>
    <row r="2">
      <c r="A2" s="6" t="inlineStr">
        <is>
          <t>Net income</t>
        </is>
      </c>
      <c r="B2" s="19">
        <f>IS!B23</f>
        <v/>
      </c>
      <c r="C2" s="23">
        <f>IS!C23</f>
        <v/>
      </c>
      <c r="D2" s="23">
        <f>IS!D23</f>
        <v/>
      </c>
      <c r="E2" s="23">
        <f>IS!E23</f>
        <v/>
      </c>
    </row>
    <row r="3">
      <c r="A3" s="6" t="inlineStr">
        <is>
          <t>D&amp;A</t>
        </is>
      </c>
      <c r="B3" s="19" t="n">
        <v>1072</v>
      </c>
      <c r="C3" s="23">
        <f>IS!C24</f>
        <v/>
      </c>
      <c r="D3" s="23">
        <f>IS!D24</f>
        <v/>
      </c>
      <c r="E3" s="23">
        <f>IS!E24</f>
        <v/>
      </c>
    </row>
    <row r="4">
      <c r="A4" s="6" t="inlineStr">
        <is>
          <t>Stock-based comp</t>
        </is>
      </c>
      <c r="B4" s="19" t="n">
        <v>10843</v>
      </c>
      <c r="C4" s="23">
        <f>IS!C25</f>
        <v/>
      </c>
      <c r="D4" s="23">
        <f>IS!D25</f>
        <v/>
      </c>
      <c r="E4" s="23">
        <f>IS!E25</f>
        <v/>
      </c>
    </row>
    <row r="5">
      <c r="A5" s="6" t="inlineStr">
        <is>
          <t>Δ Net working capital</t>
        </is>
      </c>
      <c r="B5" s="19" t="n">
        <v>-16500</v>
      </c>
      <c r="C5" s="23">
        <f>-Assumptions!K21*(IS!C8-IS!B8)</f>
        <v/>
      </c>
      <c r="D5" s="23">
        <f>-Assumptions!L21*(IS!D8-IS!C8)</f>
        <v/>
      </c>
      <c r="E5" s="23">
        <f>-Assumptions!M21*(IS!E8-IS!D8)</f>
        <v/>
      </c>
    </row>
    <row r="6">
      <c r="A6" s="3" t="inlineStr">
        <is>
          <t>CFO</t>
        </is>
      </c>
      <c r="B6" s="23">
        <f>B2+B3+B4+B5</f>
        <v/>
      </c>
      <c r="C6" s="23">
        <f>C2+C3+C4+C5</f>
        <v/>
      </c>
      <c r="D6" s="23">
        <f>D2+D3+D4+D5</f>
        <v/>
      </c>
      <c r="E6" s="23">
        <f>E2+E3+E4+E5</f>
        <v/>
      </c>
    </row>
    <row r="7">
      <c r="A7" s="6" t="inlineStr">
        <is>
          <t>Capex</t>
        </is>
      </c>
      <c r="B7" s="19" t="n">
        <v>-8149</v>
      </c>
      <c r="C7" s="23">
        <f>-IS!C8*Assumptions!K20</f>
        <v/>
      </c>
      <c r="D7" s="23">
        <f>-IS!D8*Assumptions!L20</f>
        <v/>
      </c>
      <c r="E7" s="23">
        <f>-IS!E8*Assumptions!M20</f>
        <v/>
      </c>
    </row>
    <row r="8">
      <c r="A8" s="3" t="inlineStr">
        <is>
          <t>FCF</t>
        </is>
      </c>
      <c r="B8" s="23">
        <f>B6+B7</f>
        <v/>
      </c>
      <c r="C8" s="23">
        <f>C6+C7</f>
        <v/>
      </c>
      <c r="D8" s="23">
        <f>D6+D7</f>
        <v/>
      </c>
      <c r="E8" s="23">
        <f>E6+E7</f>
        <v/>
      </c>
    </row>
    <row r="9">
      <c r="A9" s="6" t="inlineStr">
        <is>
          <t>Repurchases</t>
        </is>
      </c>
      <c r="B9" s="19" t="n">
        <v>-11341</v>
      </c>
      <c r="C9" s="23" t="n">
        <v>-15000</v>
      </c>
      <c r="D9" s="23" t="n">
        <v>-15000</v>
      </c>
      <c r="E9" s="23" t="n">
        <v>-15000</v>
      </c>
    </row>
    <row r="10">
      <c r="A10" s="6" t="inlineStr">
        <is>
          <t>Dividends</t>
        </is>
      </c>
      <c r="B10" s="19" t="n">
        <v>0</v>
      </c>
      <c r="C10" s="23" t="n">
        <v>0</v>
      </c>
      <c r="D10" s="23" t="n">
        <v>0</v>
      </c>
      <c r="E10" s="23" t="n">
        <v>0</v>
      </c>
    </row>
    <row r="11">
      <c r="A11" s="6" t="inlineStr">
        <is>
          <t>Other (FX, etc.)</t>
        </is>
      </c>
      <c r="B11" s="19" t="n">
        <v>0</v>
      </c>
      <c r="C11" s="23" t="n">
        <v>0</v>
      </c>
      <c r="D11" s="23" t="n">
        <v>0</v>
      </c>
      <c r="E11" s="23" t="n">
        <v>0</v>
      </c>
    </row>
    <row r="12">
      <c r="A12" s="3" t="inlineStr">
        <is>
          <t>Net Δ cash</t>
        </is>
      </c>
      <c r="B12" s="23">
        <f>B8+B9+B10+B11</f>
        <v/>
      </c>
      <c r="C12" s="23">
        <f>C8+C9+C10+C11</f>
        <v/>
      </c>
      <c r="D12" s="23">
        <f>D8+D9+D10+D11</f>
        <v/>
      </c>
      <c r="E12" s="23">
        <f>E8+E9+E10+E11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VALUATION</t>
        </is>
      </c>
      <c r="B1" s="13" t="inlineStr">
        <is>
          <t>FY2026E</t>
        </is>
      </c>
      <c r="C1" s="13" t="inlineStr">
        <is>
          <t>FY2027E</t>
        </is>
      </c>
      <c r="D1" s="13" t="inlineStr">
        <is>
          <t>FY2028E</t>
        </is>
      </c>
    </row>
    <row r="2">
      <c r="A2" s="6" t="inlineStr">
        <is>
          <t>Adj EBITDA ($M)</t>
        </is>
      </c>
      <c r="B2" s="28">
        <f>IS!C26/1000</f>
        <v/>
      </c>
      <c r="C2" s="28">
        <f>IS!D26/1000</f>
        <v/>
      </c>
      <c r="D2" s="28">
        <f>IS!E26/1000</f>
        <v/>
      </c>
    </row>
    <row r="3">
      <c r="A3" s="6" t="inlineStr">
        <is>
          <t>Net income ($M)</t>
        </is>
      </c>
      <c r="B3" s="28">
        <f>IS!C23/1000</f>
        <v/>
      </c>
      <c r="C3" s="28">
        <f>IS!D23/1000</f>
        <v/>
      </c>
      <c r="D3" s="28">
        <f>IS!E23/1000</f>
        <v/>
      </c>
    </row>
    <row r="4">
      <c r="A4" s="6" t="inlineStr">
        <is>
          <t>FCF ($M)</t>
        </is>
      </c>
      <c r="B4" s="28">
        <f>CF!C8/1000</f>
        <v/>
      </c>
      <c r="C4" s="28">
        <f>CF!D8/1000</f>
        <v/>
      </c>
      <c r="D4" s="28">
        <f>CF!E8/1000</f>
        <v/>
      </c>
    </row>
    <row r="6">
      <c r="A6" s="5" t="inlineStr">
        <is>
          <t>EXIT EV/EBITDA APPROACH (anchor)</t>
        </is>
      </c>
    </row>
    <row r="7">
      <c r="A7" s="6" t="inlineStr">
        <is>
          <t>Exit multiple on FY27E EBITDA</t>
        </is>
      </c>
      <c r="B7" s="29">
        <f>Assumptions!L26</f>
        <v/>
      </c>
    </row>
    <row r="8">
      <c r="A8" s="6" t="inlineStr">
        <is>
          <t>Implied EV at end of FY27 ($M)</t>
        </is>
      </c>
      <c r="B8" s="28">
        <f>C2*Assumptions!L26</f>
        <v/>
      </c>
    </row>
    <row r="9">
      <c r="A9" s="6" t="inlineStr">
        <is>
          <t>(+) Cash at end of FY27 ($M)</t>
        </is>
      </c>
      <c r="B9" s="28">
        <f>Assumptions!L29+B4+C4-15-15</f>
        <v/>
      </c>
    </row>
    <row r="10">
      <c r="A10" s="6" t="inlineStr">
        <is>
          <t>(-) Debt ($M)</t>
        </is>
      </c>
      <c r="B10" s="28">
        <f>Assumptions!L30</f>
        <v/>
      </c>
    </row>
    <row r="11">
      <c r="A11" s="3" t="inlineStr">
        <is>
          <t>Equity value at end of FY27 ($M)</t>
        </is>
      </c>
      <c r="B11" s="30">
        <f>B8+B9-B10</f>
        <v/>
      </c>
    </row>
    <row r="12">
      <c r="A12" s="6" t="inlineStr">
        <is>
          <t>Diluted shares (M)</t>
        </is>
      </c>
      <c r="B12" s="26">
        <f>Assumptions!L22</f>
        <v/>
      </c>
    </row>
    <row r="13">
      <c r="A13" s="3" t="inlineStr">
        <is>
          <t>Implied price at end of FY27 ($)</t>
        </is>
      </c>
      <c r="B13" s="11">
        <f>B11/B12</f>
        <v/>
      </c>
    </row>
    <row r="15">
      <c r="A15" s="6" t="inlineStr">
        <is>
          <t>WACC (for discount)</t>
        </is>
      </c>
      <c r="B15" s="24">
        <f>Assumptions!L27</f>
        <v/>
      </c>
    </row>
    <row r="16">
      <c r="A16" s="6" t="inlineStr">
        <is>
          <t>Discount window: end FY27 -&gt; Apr 2027 (~8 months)</t>
        </is>
      </c>
    </row>
    <row r="18">
      <c r="A18" s="5" t="inlineStr">
        <is>
          <t>12-MONTH PRICE TARGET (LIVE)</t>
        </is>
      </c>
    </row>
    <row r="19">
      <c r="A19" s="6" t="inlineStr">
        <is>
          <t>Approach: Equity value at end FY27 / shares, discount to Apr 2027 (12m fwd)</t>
        </is>
      </c>
    </row>
    <row r="20">
      <c r="A20" s="6" t="inlineStr">
        <is>
          <t>Discount factor = 1/(1+WACC)^0.67</t>
        </is>
      </c>
    </row>
    <row r="21">
      <c r="A21" s="6" t="inlineStr">
        <is>
          <t>Discounted equity value ($M)</t>
        </is>
      </c>
      <c r="B21" s="28">
        <f>B11/(1+B15)^0.67</f>
        <v/>
      </c>
    </row>
    <row r="22">
      <c r="A22" s="22" t="inlineStr">
        <is>
          <t>12-MONTH PRICE TARGET ($)</t>
        </is>
      </c>
      <c r="B22" s="10">
        <f>B21/B12</f>
        <v/>
      </c>
    </row>
    <row r="24">
      <c r="A24" s="5" t="inlineStr">
        <is>
          <t>CROSS-CHECK: P/E</t>
        </is>
      </c>
    </row>
    <row r="25">
      <c r="A25" s="6" t="inlineStr">
        <is>
          <t>FY27E EPS ($)</t>
        </is>
      </c>
      <c r="B25" s="11">
        <f>IS!D31</f>
        <v/>
      </c>
    </row>
    <row r="26">
      <c r="A26" s="6" t="inlineStr">
        <is>
          <t>P/E target on FY27 EPS</t>
        </is>
      </c>
      <c r="B26" s="31" t="n">
        <v>30</v>
      </c>
    </row>
    <row r="27">
      <c r="A27" s="6" t="inlineStr">
        <is>
          <t>Implied price at end FY27 ($)</t>
        </is>
      </c>
      <c r="B27" s="11">
        <f>B25*B26</f>
        <v/>
      </c>
    </row>
    <row r="28">
      <c r="A28" s="3" t="inlineStr">
        <is>
          <t>Discounted to Apr 2027 (12m fwd) at WACC</t>
        </is>
      </c>
      <c r="B28" s="11">
        <f>B27/(1+B15)^0.67</f>
        <v/>
      </c>
    </row>
    <row r="30">
      <c r="A30" s="5" t="inlineStr">
        <is>
          <t>CROSS-CHECK: DCF (Gordon growth on FY28 FCF)</t>
        </is>
      </c>
    </row>
    <row r="31">
      <c r="A31" s="6" t="inlineStr">
        <is>
          <t>FY28E FCF ($M)</t>
        </is>
      </c>
      <c r="B31" s="28">
        <f>D4</f>
        <v/>
      </c>
    </row>
    <row r="32">
      <c r="A32" s="6" t="inlineStr">
        <is>
          <t>WACC (%)</t>
        </is>
      </c>
      <c r="B32" s="24">
        <f>B15</f>
        <v/>
      </c>
    </row>
    <row r="33">
      <c r="A33" s="6" t="inlineStr">
        <is>
          <t>Terminal growth (%)</t>
        </is>
      </c>
      <c r="B33" s="24">
        <f>Assumptions!L28</f>
        <v/>
      </c>
    </row>
    <row r="34">
      <c r="A34" s="6" t="inlineStr">
        <is>
          <t>Terminal value at end FY28 ($M)</t>
        </is>
      </c>
      <c r="B34" s="28">
        <f>B31*(1+B33)/(B32-B33)</f>
        <v/>
      </c>
    </row>
    <row r="35">
      <c r="A35" s="6" t="inlineStr">
        <is>
          <t>PV of FY26-28 FCF ($M)</t>
        </is>
      </c>
      <c r="B35" s="28">
        <f>B4/(1+B15)^0.5+C4/(1+B15)^1.5+D4/(1+B15)^2.5</f>
        <v/>
      </c>
    </row>
    <row r="36">
      <c r="A36" s="6" t="inlineStr">
        <is>
          <t>PV of terminal value ($M)</t>
        </is>
      </c>
      <c r="B36" s="28">
        <f>B34/(1+B15)^3.0</f>
        <v/>
      </c>
    </row>
    <row r="37">
      <c r="A37" s="3" t="inlineStr">
        <is>
          <t>Enterprise value (DCF) ($M)</t>
        </is>
      </c>
      <c r="B37" s="28">
        <f>B35+B36</f>
        <v/>
      </c>
    </row>
    <row r="38">
      <c r="A38" s="6" t="inlineStr">
        <is>
          <t>(+) Cash now ($M)</t>
        </is>
      </c>
      <c r="B38" s="28">
        <f>Assumptions!L29</f>
        <v/>
      </c>
    </row>
    <row r="39">
      <c r="A39" s="3" t="inlineStr">
        <is>
          <t>Equity value (DCF) ($M)</t>
        </is>
      </c>
      <c r="B39" s="28">
        <f>B37+B38</f>
        <v/>
      </c>
    </row>
    <row r="40">
      <c r="A40" s="3" t="inlineStr">
        <is>
          <t>DCF price per share ($)</t>
        </is>
      </c>
      <c r="B40" s="11">
        <f>B39/B12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2026-04-27T18:09:45Z</dcterms:created>
  <dcterms:modified xmlns:dcterms="http://purl.org/dc/terms/" xmlns:xsi="http://www.w3.org/2001/XMLSchema-instance" xsi:type="dcterms:W3CDTF">2026-04-27T18:09:45Z</dcterms:modified>
</cp:coreProperties>
</file>