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e97d4eb84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e9b6ce851b64070"/>
    <x:sheet xmlns:r="http://schemas.openxmlformats.org/officeDocument/2006/relationships" name="Historical" sheetId="2" r:id="R0547b7489e5a4635"/>
    <x:sheet xmlns:r="http://schemas.openxmlformats.org/officeDocument/2006/relationships" name="Assumptions" sheetId="3" r:id="Rc650591aaa1049db"/>
    <x:sheet xmlns:r="http://schemas.openxmlformats.org/officeDocument/2006/relationships" name="Model" sheetId="4" r:id="Re4239e6f0a3a47dc"/>
    <x:sheet xmlns:r="http://schemas.openxmlformats.org/officeDocument/2006/relationships" name="Valuation" sheetId="5" r:id="Re1937be76498427c"/>
    <x:sheet xmlns:r="http://schemas.openxmlformats.org/officeDocument/2006/relationships" name="Scenarios" sheetId="6" r:id="R42f3852fad3f4ef5"/>
    <x:sheet xmlns:r="http://schemas.openxmlformats.org/officeDocument/2006/relationships" name="Peers" sheetId="7" r:id="R424fffc0c69743c9"/>
    <x:sheet xmlns:r="http://schemas.openxmlformats.org/officeDocument/2006/relationships" name="Sources" sheetId="8" r:id="R7d880c6b824c4fc0"/>
    <x:sheet xmlns:r="http://schemas.openxmlformats.org/officeDocument/2006/relationships" name="Checks" sheetId="9" r:id="R0086cc157437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"/>
    <x:numFmt numFmtId="201" formatCode="$#,##0.0;[Red]($#,##0.0);-"/>
    <x:numFmt numFmtId="202" formatCode="$0.00"/>
    <x:numFmt numFmtId="203" formatCode="#,##0.0"/>
    <x:numFmt numFmtId="204" formatCode="0.00"/>
    <x:numFmt numFmtId="205" formatCode="0.0x"/>
    <x:numFmt numFmtId="206" formatCode="$#,##0.0"/>
    <x:numFmt numFmtId="207" formatCode="0.000x"/>
    <x:numFmt numFmtId="208" formatCode="0.000"/>
  </x:numFmts>
  <x:fonts count="8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D9EAD3"/>
      </x:patternFill>
    </x:fill>
    <x:fill>
      <x:patternFill patternType="solid">
        <x:fgColor rgb="FFF2CC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202" fontId="5" fillId="5" borderId="0" xfId="0" applyNumberFormat="1" applyFont="1" applyFill="1" applyBorder="1"/>
    <x:xf numFmtId="203" fontId="5" fillId="5" borderId="0" xfId="0" applyNumberFormat="1" applyFont="1" applyFill="1" applyBorder="1"/>
    <x:xf numFmtId="201" fontId="5" fillId="5" borderId="0" xfId="0" applyNumberFormat="1" applyFont="1" applyFill="1" applyBorder="1"/>
    <x:xf numFmtId="200" fontId="5" fillId="5" borderId="0" xfId="0" applyNumberFormat="1" applyFont="1" applyFill="1" applyBorder="1"/>
    <x:xf numFmtId="204" fontId="5" fillId="5" borderId="0" xfId="0" applyNumberFormat="1" applyFont="1" applyFill="1" applyBorder="1"/>
    <x:xf numFmtId="200" fontId="6" fillId="0" borderId="0" xfId="0" applyNumberFormat="1" applyFont="1" applyFill="1" applyBorder="1"/>
    <x:xf numFmtId="205" fontId="0" fillId="0" borderId="0" xfId="0" applyNumberFormat="1" applyFont="1" applyFill="1" applyBorder="1"/>
    <x:xf numFmtId="201" fontId="4" fillId="4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3bdaa315a4564" /><Relationship Type="http://schemas.openxmlformats.org/officeDocument/2006/relationships/theme" Target="/xl/theme/theme1.xml" Id="R82eb4a47352948ed" /><Relationship Type="http://schemas.openxmlformats.org/officeDocument/2006/relationships/sharedStrings" Target="/xl/sharedStrings.xml" Id="R95f7e8d02ff04251" /><Relationship Type="http://schemas.openxmlformats.org/officeDocument/2006/relationships/worksheet" Target="/xl/worksheets/sheet1.xml" Id="R5e9b6ce851b64070" /><Relationship Type="http://schemas.openxmlformats.org/officeDocument/2006/relationships/worksheet" Target="/xl/worksheets/sheet2.xml" Id="R0547b7489e5a4635" /><Relationship Type="http://schemas.openxmlformats.org/officeDocument/2006/relationships/worksheet" Target="/xl/worksheets/sheet3.xml" Id="Rc650591aaa1049db" /><Relationship Type="http://schemas.openxmlformats.org/officeDocument/2006/relationships/worksheet" Target="/xl/worksheets/sheet4.xml" Id="Re4239e6f0a3a47dc" /><Relationship Type="http://schemas.openxmlformats.org/officeDocument/2006/relationships/worksheet" Target="/xl/worksheets/sheet5.xml" Id="Re1937be76498427c" /><Relationship Type="http://schemas.openxmlformats.org/officeDocument/2006/relationships/worksheet" Target="/xl/worksheets/sheet6.xml" Id="R42f3852fad3f4ef5" /><Relationship Type="http://schemas.openxmlformats.org/officeDocument/2006/relationships/worksheet" Target="/xl/worksheets/sheet7.xml" Id="R424fffc0c69743c9" /><Relationship Type="http://schemas.openxmlformats.org/officeDocument/2006/relationships/worksheet" Target="/xl/worksheets/sheet8.xml" Id="R7d880c6b824c4fc0" /><Relationship Type="http://schemas.openxmlformats.org/officeDocument/2006/relationships/worksheet" Target="/xl/worksheets/sheet9.xml" Id="R0086cc15743748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3095eba9e741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Trajectory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Revenue</c:v>
          </c:tx>
          <c:cat>
            <c:strRef>
              <c:f>'Cover'!$D$5:$D$12</c:f>
              <c:strCache>
                <c:ptCount val="0"/>
              </c:strCache>
            </c:strRef>
          </c:cat>
          <c:val>
            <c:numRef>
              <c:f>'Cover'!$E$5:$E$12</c:f>
              <c:numCache>
                <c:formatCode>$#,##0.0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3095eba9e7418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542551f6cb4b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.91000366210938" hidden="0" customWidth="1"/>
    <x:col min="2" max="2" width="6.860000133514404" hidden="0" customWidth="1"/>
    <x:col min="4" max="4" width="7" hidden="0" customWidth="1"/>
    <x:col min="5" max="5" width="7" hidden="0" customWidth="1"/>
    <x:col min="6" max="6" width="8.479999542236328" hidden="0" customWidth="1"/>
    <x:col min="7" max="7" width="5.380000114440918" hidden="0" customWidth="1"/>
  </x:cols>
  <x:sheetData>
    <x:row r="1">
      <x:c r="A1" s="2" t="str">
        <x:v>YETI Holdings Investment Memo Model</x:v>
      </x:c>
    </x:row>
    <x:row r="2">
      <x:c r="A2" s="3" t="str">
        <x:v>HOLD recommendation; 12-month target triangulated from DCF and market multiples.</x:v>
      </x:c>
    </x:row>
    <x:row r="4">
      <x:c r="A4" s="27" t="str">
        <x:v>Ticker</x:v>
      </x:c>
      <x:c r="B4" t="str">
        <x:v>YETI</x:v>
      </x:c>
      <x:c r="D4" s="6" t="str">
        <x:v>Year</x:v>
      </x:c>
      <x:c r="E4" s="6" t="str">
        <x:v>Revenue</x:v>
      </x:c>
      <x:c r="F4" s="6" t="str">
        <x:v>Op margin</x:v>
      </x:c>
      <x:c r="G4" s="6" t="str">
        <x:v>FCF</x:v>
      </x:c>
    </x:row>
    <x:row r="5">
      <x:c r="A5" s="27" t="str">
        <x:v>Recommendation</x:v>
      </x:c>
      <x:c r="B5" t="str">
        <x:v>HOLD</x:v>
      </x:c>
      <x:c r="D5" t="str">
        <x:v>FY2023A</x:v>
      </x:c>
      <x:c r="E5" s="24" t="n">
        <x:f>Model!B5</x:f>
        <x:v>1658.713</x:v>
      </x:c>
      <x:c r="F5" s="9" t="n">
        <x:f>Model!B12</x:f>
        <x:v>0.13592345390673372</x:v>
      </x:c>
      <x:c r="G5" s="24" t="n">
        <x:f>Model!B46</x:f>
        <x:v>235.27</x:v>
      </x:c>
    </x:row>
    <x:row r="6">
      <x:c r="A6" s="27" t="str">
        <x:v>12-month price target</x:v>
      </x:c>
      <x:c r="B6" s="23" t="n">
        <x:f>Valuation!B19</x:f>
        <x:v>41</x:v>
      </x:c>
      <x:c r="D6" t="str">
        <x:v>FY2024A</x:v>
      </x:c>
      <x:c r="E6" s="24" t="n">
        <x:f>Model!C5</x:f>
        <x:v>1829.873</x:v>
      </x:c>
      <x:c r="F6" s="9" t="n">
        <x:f>Model!C12</x:f>
        <x:v>0.13409455191699096</x:v>
      </x:c>
      <x:c r="G6" s="24" t="n">
        <x:f>Model!C46</x:f>
        <x:v>219.554</x:v>
      </x:c>
    </x:row>
    <x:row r="7">
      <x:c r="A7" s="27" t="str">
        <x:v>Current price</x:v>
      </x:c>
      <x:c r="B7" s="23" t="n">
        <x:v>39.62</x:v>
      </x:c>
      <x:c r="D7" t="str">
        <x:v>FY2025A</x:v>
      </x:c>
      <x:c r="E7" s="24" t="n">
        <x:f>Model!D5</x:f>
        <x:v>1868.494</x:v>
      </x:c>
      <x:c r="F7" s="9" t="n">
        <x:f>Model!D12</x:f>
        <x:v>0.11429365039438179</x:v>
      </x:c>
      <x:c r="G7" s="24" t="n">
        <x:f>Model!D46</x:f>
        <x:v>212.07</x:v>
      </x:c>
    </x:row>
    <x:row r="8">
      <x:c r="A8" s="27" t="str">
        <x:v>Implied upside</x:v>
      </x:c>
      <x:c r="B8" s="9" t="n">
        <x:f>B6/B7-1</x:f>
        <x:v>0.03483089348813739</x:v>
      </x:c>
      <x:c r="D8" t="str">
        <x:v>FY2026E</x:v>
      </x:c>
      <x:c r="E8" s="24" t="n">
        <x:f>Model!E5</x:f>
        <x:v>1999.2885800000001</x:v>
      </x:c>
      <x:c r="F8" s="9" t="n">
        <x:f>Model!E12</x:f>
        <x:v>0.128</x:v>
      </x:c>
      <x:c r="G8" s="24" t="n">
        <x:f>Model!E46</x:f>
        <x:v>219.76505678618264</x:v>
      </x:c>
    </x:row>
    <x:row r="9">
      <x:c r="A9" s="27" t="str">
        <x:v>Market cap</x:v>
      </x:c>
      <x:c r="B9" s="24" t="n">
        <x:v>2998.982096</x:v>
      </x:c>
      <x:c r="D9" t="str">
        <x:v>FY2027E</x:v>
      </x:c>
      <x:c r="E9" s="24" t="n">
        <x:f>Model!F5</x:f>
        <x:v>2139.2387806</x:v>
      </x:c>
      <x:c r="F9" s="9" t="n">
        <x:f>Model!F12</x:f>
        <x:v>0.133</x:v>
      </x:c>
      <x:c r="G9" s="24" t="n">
        <x:f>Model!F46</x:f>
        <x:v>253.16760662363458</x:v>
      </x:c>
    </x:row>
    <x:row r="10">
      <x:c r="A10" s="27" t="str">
        <x:v>FY2025 revenue</x:v>
      </x:c>
      <x:c r="B10" s="24" t="n">
        <x:v>1868.494</x:v>
      </x:c>
      <x:c r="D10" t="str">
        <x:v>FY2028E</x:v>
      </x:c>
      <x:c r="E10" s="24" t="n">
        <x:f>Model!G5</x:f>
        <x:v>2267.593107436</x:v>
      </x:c>
      <x:c r="F10" s="9" t="n">
        <x:f>Model!G12</x:f>
        <x:v>0.137</x:v>
      </x:c>
      <x:c r="G10" s="24" t="n">
        <x:f>Model!G46</x:f>
        <x:v>279.9866474467955</x:v>
      </x:c>
    </x:row>
    <x:row r="11">
      <x:c r="A11" s="27" t="str">
        <x:v>FY2025 free cash flow</x:v>
      </x:c>
      <x:c r="B11" s="24" t="n">
        <x:v>212.07</x:v>
      </x:c>
      <x:c r="D11" t="str">
        <x:v>FY2029E</x:v>
      </x:c>
      <x:c r="E11" s="24" t="n">
        <x:f>Model!H5</x:f>
        <x:v>2392.31072834498</x:v>
      </x:c>
      <x:c r="F11" s="9" t="n">
        <x:f>Model!H12</x:f>
        <x:v>0.14</x:v>
      </x:c>
      <x:c r="G11" s="24" t="n">
        <x:f>Model!H46</x:f>
        <x:v>306.34616994290474</x:v>
      </x:c>
    </x:row>
    <x:row r="12">
      <x:c r="A12" s="27" t="str">
        <x:v>Model status</x:v>
      </x:c>
      <x:c r="B12" t="str">
        <x:f>IF(COUNTIF(Checks!F5:F11,"Check")=0,"OK","Review checks")</x:f>
        <x:v>OK</x:v>
      </x:c>
      <x:c r="D12" t="str">
        <x:v>FY2030E</x:v>
      </x:c>
      <x:c r="E12" s="24" t="n">
        <x:f>Model!I5</x:f>
        <x:v>2511.926264762229</x:v>
      </x:c>
      <x:c r="F12" s="9" t="n">
        <x:f>Model!I12</x:f>
        <x:v>0.142</x:v>
      </x:c>
      <x:c r="G12" s="24" t="n">
        <x:f>Model!I46</x:f>
        <x:v>327.67195788915205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07542551f6cb4ba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09000015258789" hidden="0" customWidth="1"/>
    <x:col min="2" max="2" width="4.039999961853027" hidden="0" customWidth="1"/>
    <x:col min="3" max="3" width="160.16000366210938" hidden="0" customWidth="1"/>
    <x:col min="4" max="4" width="7" hidden="0" customWidth="1"/>
    <x:col min="5" max="5" width="7" hidden="0" customWidth="1"/>
    <x:col min="6" max="6" width="7" hidden="0" customWidth="1"/>
    <x:col min="7" max="7" width="17.6299991607666" hidden="0" customWidth="1"/>
    <x:col min="8" max="8" width="4.710000038146973" hidden="0" customWidth="1"/>
    <x:col min="9" max="9" width="21.1299991607666" hidden="0" customWidth="1"/>
    <x:col min="10" max="10" width="25.030000686645508" hidden="0" customWidth="1"/>
  </x:cols>
  <x:sheetData>
    <x:row r="1">
      <x:c r="A1" s="2" t="str">
        <x:v>Historical Financials</x:v>
      </x:c>
    </x:row>
    <x:row r="2">
      <x:c r="A2" s="3" t="str">
        <x:v>Amounts in $mm except per-share data, shares, and percentages.</x:v>
      </x:c>
    </x:row>
    <x:row r="4">
      <x:c r="A4" s="6" t="str">
        <x:v>Metric</x:v>
      </x:c>
      <x:c r="B4" s="6" t="str">
        <x:v>Unit</x:v>
      </x:c>
      <x:c r="C4" s="6" t="str">
        <x:v>Source / tag</x:v>
      </x:c>
      <x:c r="D4" s="6" t="str">
        <x:v>FY2023A</x:v>
      </x:c>
      <x:c r="E4" s="6" t="str">
        <x:v>FY2024A</x:v>
      </x:c>
      <x:c r="F4" s="6" t="str">
        <x:v>FY2025A</x:v>
      </x:c>
      <x:c r="G4" s="6" t="str">
        <x:v>FY2025 margin / ratio</x:v>
      </x:c>
      <x:c r="H4" s="6" t="str">
        <x:v>Notes</x:v>
      </x:c>
      <x:c r="I4" s="6" t="str">
        <x:v>Model use</x:v>
      </x:c>
      <x:c r="J4" s="6" t="str"/>
    </x:row>
    <x:row r="5">
      <x:c r="A5" t="str">
        <x:v>Revenue</x:v>
      </x:c>
      <x:c r="B5" t="str">
        <x:v>$mm</x:v>
      </x:c>
      <x:c r="C5" t="str">
        <x:v>raw/filings/yeti-2026-02-27-10-k-yeti-20260103.htm | us-gaap:RevenueFromContractWithCustomerExcludingAssessedTax | 0001670592-26-000013</x:v>
      </x:c>
      <x:c r="D5" s="10" t="n">
        <x:v>1658.713</x:v>
      </x:c>
      <x:c r="E5" s="10" t="n">
        <x:v>1829.873</x:v>
      </x:c>
      <x:c r="F5" s="10" t="n">
        <x:v>1868.494</x:v>
      </x:c>
      <x:c r="G5" s="9" t="str"/>
      <x:c r="H5" t="str"/>
      <x:c r="I5" t="str">
        <x:v>Historical sales base</x:v>
      </x:c>
      <x:c r="J5" t="str">
        <x:v>revenue</x:v>
      </x:c>
    </x:row>
    <x:row r="6">
      <x:c r="A6" t="str">
        <x:v>Cost of goods sold</x:v>
      </x:c>
      <x:c r="B6" t="str">
        <x:v>$mm</x:v>
      </x:c>
      <x:c r="C6" t="str">
        <x:v>raw/filings/yeti-2026-02-27-10-k-yeti-20260103.htm | us-gaap:CostOfRevenue | 0001670592-26-000013</x:v>
      </x:c>
      <x:c r="D6" s="10" t="n">
        <x:v>715.527</x:v>
      </x:c>
      <x:c r="E6" s="10" t="n">
        <x:v>766.589</x:v>
      </x:c>
      <x:c r="F6" s="10" t="n">
        <x:v>795.81</x:v>
      </x:c>
      <x:c r="G6" s="9" t="str"/>
      <x:c r="H6" t="str"/>
      <x:c r="I6" t="str">
        <x:v>Gross margin driver</x:v>
      </x:c>
      <x:c r="J6" t="str">
        <x:v>cogs</x:v>
      </x:c>
    </x:row>
    <x:row r="7">
      <x:c r="A7" t="str">
        <x:v>Gross profit</x:v>
      </x:c>
      <x:c r="B7" t="str">
        <x:v>$mm</x:v>
      </x:c>
      <x:c r="C7" t="str">
        <x:v>raw/filings/yeti-2026-02-27-10-k-yeti-20260103.htm | us-gaap:GrossProfit | 0001670592-26-000013</x:v>
      </x:c>
      <x:c r="D7" s="10" t="n">
        <x:v>943.186</x:v>
      </x:c>
      <x:c r="E7" s="10" t="n">
        <x:v>1063.284</x:v>
      </x:c>
      <x:c r="F7" s="10" t="n">
        <x:v>1072.684</x:v>
      </x:c>
      <x:c r="G7" s="9" t="n">
        <x:f>F7/F5</x:f>
        <x:v>0.5740901496071168</x:v>
      </x:c>
      <x:c r="H7" t="str"/>
      <x:c r="I7" t="str">
        <x:v>Gross margin driver</x:v>
      </x:c>
      <x:c r="J7" t="str">
        <x:v>gross_profit</x:v>
      </x:c>
    </x:row>
    <x:row r="8">
      <x:c r="A8" t="str">
        <x:v>SG&amp;A</x:v>
      </x:c>
      <x:c r="B8" t="str">
        <x:v>$mm</x:v>
      </x:c>
      <x:c r="C8" t="str">
        <x:v>raw/filings/yeti-2026-02-27-10-k-yeti-20260103.htm | us-gaap:SellingGeneralAndAdministrativeExpense | 0001670592-26-000013</x:v>
      </x:c>
      <x:c r="D8" s="10" t="n">
        <x:v>717.728</x:v>
      </x:c>
      <x:c r="E8" s="10" t="n">
        <x:v>817.908</x:v>
      </x:c>
      <x:c r="F8" s="10" t="n">
        <x:v>859.127</x:v>
      </x:c>
      <x:c r="G8" s="9" t="str"/>
      <x:c r="H8" t="str"/>
      <x:c r="I8" t="str">
        <x:v>Operating leverage driver</x:v>
      </x:c>
      <x:c r="J8" t="str">
        <x:v>sga</x:v>
      </x:c>
    </x:row>
    <x:row r="9">
      <x:c r="A9" t="str">
        <x:v>Operating income</x:v>
      </x:c>
      <x:c r="B9" t="str">
        <x:v>$mm</x:v>
      </x:c>
      <x:c r="C9" t="str">
        <x:v>raw/filings/yeti-2026-02-27-10-k-yeti-20260103.htm | us-gaap:OperatingIncomeLoss | 0001670592-26-000013</x:v>
      </x:c>
      <x:c r="D9" s="10" t="n">
        <x:v>225.458</x:v>
      </x:c>
      <x:c r="E9" s="10" t="n">
        <x:v>245.376</x:v>
      </x:c>
      <x:c r="F9" s="10" t="n">
        <x:v>213.557</x:v>
      </x:c>
      <x:c r="G9" s="9" t="n">
        <x:f>F9/F5</x:f>
        <x:v>0.11429365039438179</x:v>
      </x:c>
      <x:c r="H9" t="str"/>
      <x:c r="I9" t="str">
        <x:v>EBIT base</x:v>
      </x:c>
      <x:c r="J9" t="str">
        <x:v>operating_income</x:v>
      </x:c>
    </x:row>
    <x:row r="10">
      <x:c r="A10" t="str">
        <x:v>Pretax income</x:v>
      </x:c>
      <x:c r="B10" t="str">
        <x:v>$mm</x:v>
      </x:c>
      <x:c r="C10" t="str">
        <x:v>raw/filings/yeti-2026-02-27-10-k-yeti-20260103.htm | us-gaap:IncomeLossFromContinuingOperationsBeforeIncomeTaxesExtraordinaryItemsNoncontrollingInterest | 0001670592-26-000013</x:v>
      </x:c>
      <x:c r="D10" s="10" t="n">
        <x:v>225.946</x:v>
      </x:c>
      <x:c r="E10" s="10" t="n">
        <x:v>232.848</x:v>
      </x:c>
      <x:c r="F10" s="10" t="n">
        <x:v>220.281</x:v>
      </x:c>
      <x:c r="G10" s="9" t="str"/>
      <x:c r="H10" t="str"/>
      <x:c r="I10" t="str">
        <x:v>Tax bridge</x:v>
      </x:c>
      <x:c r="J10" t="str">
        <x:v>pretax_income</x:v>
      </x:c>
    </x:row>
    <x:row r="11">
      <x:c r="A11" t="str">
        <x:v>Income tax expense</x:v>
      </x:c>
      <x:c r="B11" t="str">
        <x:v>$mm</x:v>
      </x:c>
      <x:c r="C11" t="str">
        <x:v>raw/filings/yeti-2026-02-27-10-k-yeti-20260103.htm | us-gaap:IncomeTaxExpenseBenefit | 0001670592-26-000013</x:v>
      </x:c>
      <x:c r="D11" s="10" t="n">
        <x:v>56.061</x:v>
      </x:c>
      <x:c r="E11" s="10" t="n">
        <x:v>57.159</x:v>
      </x:c>
      <x:c r="F11" s="10" t="n">
        <x:v>54.894</x:v>
      </x:c>
      <x:c r="G11" s="9" t="str"/>
      <x:c r="H11" t="str"/>
      <x:c r="I11" t="str">
        <x:v>Tax-rate base</x:v>
      </x:c>
      <x:c r="J11" t="str">
        <x:v>income_tax</x:v>
      </x:c>
    </x:row>
    <x:row r="12">
      <x:c r="A12" t="str">
        <x:v>Net income</x:v>
      </x:c>
      <x:c r="B12" t="str">
        <x:v>$mm</x:v>
      </x:c>
      <x:c r="C12" t="str">
        <x:v>raw/filings/yeti-2026-02-27-10-k-yeti-20260103.htm | us-gaap:NetIncomeLoss | 0001670592-26-000013</x:v>
      </x:c>
      <x:c r="D12" s="10" t="n">
        <x:v>169.885</x:v>
      </x:c>
      <x:c r="E12" s="10" t="n">
        <x:v>175.689</x:v>
      </x:c>
      <x:c r="F12" s="10" t="n">
        <x:v>165.387</x:v>
      </x:c>
      <x:c r="G12" s="9" t="n">
        <x:f>F12/F5</x:f>
        <x:v>0.08851353014780888</x:v>
      </x:c>
      <x:c r="H12" t="str"/>
      <x:c r="I12" t="str">
        <x:v>Equity roll-forward</x:v>
      </x:c>
      <x:c r="J12" t="str">
        <x:v>net_income</x:v>
      </x:c>
    </x:row>
    <x:row r="13">
      <x:c r="A13" t="str">
        <x:v>Diluted EPS</x:v>
      </x:c>
      <x:c r="B13" t="str">
        <x:v>$/sh</x:v>
      </x:c>
      <x:c r="C13" t="str">
        <x:v>raw/filings/yeti-2026-02-27-10-k-yeti-20260103.htm | us-gaap:EarningsPerShareDiluted | 0001670592-26-000013</x:v>
      </x:c>
      <x:c r="D13" s="10" t="n">
        <x:v>1.94</x:v>
      </x:c>
      <x:c r="E13" s="10" t="n">
        <x:v>2.05</x:v>
      </x:c>
      <x:c r="F13" s="10" t="n">
        <x:v>2.03</x:v>
      </x:c>
      <x:c r="G13" s="9" t="str"/>
      <x:c r="H13" t="str"/>
      <x:c r="I13" t="str">
        <x:v>EPS bridge</x:v>
      </x:c>
      <x:c r="J13" t="str">
        <x:v>diluted_eps</x:v>
      </x:c>
    </x:row>
    <x:row r="14">
      <x:c r="A14" t="str">
        <x:v>Diluted shares</x:v>
      </x:c>
      <x:c r="B14" t="str">
        <x:v>mm</x:v>
      </x:c>
      <x:c r="C14" t="str">
        <x:v>raw/filings/yeti-2026-02-27-10-k-yeti-20260103.htm | us-gaap:WeightedAverageNumberOfDilutedSharesOutstanding | 0001670592-26-000013</x:v>
      </x:c>
      <x:c r="D14" s="10" t="n">
        <x:v>87.403</x:v>
      </x:c>
      <x:c r="E14" s="10" t="n">
        <x:v>85.755</x:v>
      </x:c>
      <x:c r="F14" s="10" t="n">
        <x:v>81.595</x:v>
      </x:c>
      <x:c r="G14" s="9" t="str"/>
      <x:c r="H14" t="str"/>
      <x:c r="I14" t="str">
        <x:v>Share-count base</x:v>
      </x:c>
      <x:c r="J14" t="str">
        <x:v>diluted_shares</x:v>
      </x:c>
    </x:row>
    <x:row r="15">
      <x:c r="A15" t="str">
        <x:v>Operating cash flow</x:v>
      </x:c>
      <x:c r="B15" t="str">
        <x:v>$mm</x:v>
      </x:c>
      <x:c r="C15" t="str">
        <x:v>raw/filings/yeti-2026-02-27-10-k-yeti-20260103.htm | us-gaap:NetCashProvidedByUsedInOperatingActivities | 0001670592-26-000013</x:v>
      </x:c>
      <x:c r="D15" s="10" t="n">
        <x:v>285.942</x:v>
      </x:c>
      <x:c r="E15" s="10" t="n">
        <x:v>261.386</x:v>
      </x:c>
      <x:c r="F15" s="10" t="n">
        <x:v>254.737</x:v>
      </x:c>
      <x:c r="G15" s="9" t="str"/>
      <x:c r="H15" t="str"/>
      <x:c r="I15" t="str">
        <x:v>Cash-flow base</x:v>
      </x:c>
      <x:c r="J15" t="str">
        <x:v>operating_cash_flow</x:v>
      </x:c>
    </x:row>
    <x:row r="16">
      <x:c r="A16" t="str">
        <x:v>Capital expenditures</x:v>
      </x:c>
      <x:c r="B16" t="str">
        <x:v>$mm</x:v>
      </x:c>
      <x:c r="C16" t="str">
        <x:v>raw/filings/yeti-2026-02-27-10-k-yeti-20260103.htm | us-gaap:PaymentsToAcquirePropertyPlantAndEquipment | 0001670592-26-000013</x:v>
      </x:c>
      <x:c r="D16" s="10" t="n">
        <x:v>50.672</x:v>
      </x:c>
      <x:c r="E16" s="10" t="n">
        <x:v>41.832</x:v>
      </x:c>
      <x:c r="F16" s="10" t="n">
        <x:v>42.667</x:v>
      </x:c>
      <x:c r="G16" s="9" t="n">
        <x:f>F16/F5</x:f>
        <x:v>0.022834967626334364</x:v>
      </x:c>
      <x:c r="H16" t="str"/>
      <x:c r="I16" t="str">
        <x:v>Capex base</x:v>
      </x:c>
      <x:c r="J16" t="str">
        <x:v>capex</x:v>
      </x:c>
    </x:row>
    <x:row r="17">
      <x:c r="A17" t="str">
        <x:v>D&amp;A</x:v>
      </x:c>
      <x:c r="B17" t="str">
        <x:v>$mm</x:v>
      </x:c>
      <x:c r="C17" t="str">
        <x:v>raw/filings/yeti-2026-02-27-10-k-yeti-20260103.htm | us-gaap:DepreciationDepletionAndAmortization | 0001670592-26-000013</x:v>
      </x:c>
      <x:c r="D17" s="10" t="n">
        <x:v>46.434</x:v>
      </x:c>
      <x:c r="E17" s="10" t="n">
        <x:v>48.132</x:v>
      </x:c>
      <x:c r="F17" s="10" t="n">
        <x:v>54.232</x:v>
      </x:c>
      <x:c r="G17" s="9" t="str"/>
      <x:c r="H17" t="str"/>
      <x:c r="I17" t="str">
        <x:v>D&amp;A base</x:v>
      </x:c>
      <x:c r="J17" t="str">
        <x:v>depreciation_amortization</x:v>
      </x:c>
    </x:row>
    <x:row r="18">
      <x:c r="A18" t="str">
        <x:v>Stock compensation</x:v>
      </x:c>
      <x:c r="B18" t="str">
        <x:v>$mm</x:v>
      </x:c>
      <x:c r="C18" t="str">
        <x:v>raw/filings/yeti-2026-02-27-10-k-yeti-20260103.htm | us-gaap:ShareBasedCompensation | 0001670592-26-000013</x:v>
      </x:c>
      <x:c r="D18" s="10" t="n">
        <x:v>29.8</x:v>
      </x:c>
      <x:c r="E18" s="10" t="n">
        <x:v>40.719</x:v>
      </x:c>
      <x:c r="F18" s="10" t="n">
        <x:v>47.688</x:v>
      </x:c>
      <x:c r="G18" s="9" t="str"/>
      <x:c r="H18" t="str"/>
      <x:c r="I18" t="str">
        <x:v>Equity/cash-flow add-back</x:v>
      </x:c>
      <x:c r="J18" t="str">
        <x:v>stock_comp</x:v>
      </x:c>
    </x:row>
    <x:row r="19">
      <x:c r="A19" t="str">
        <x:v>Share repurchases</x:v>
      </x:c>
      <x:c r="B19" t="str">
        <x:v>$mm</x:v>
      </x:c>
      <x:c r="C19" t="str">
        <x:v>raw/filings/yeti-2026-02-27-10-k-yeti-20260103.htm | us-gaap:PaymentsForRepurchaseOfCommonStock | 0001670592-26-000013</x:v>
      </x:c>
      <x:c r="D19" s="10" t="n">
        <x:v>0</x:v>
      </x:c>
      <x:c r="E19" s="10" t="n">
        <x:v>200</x:v>
      </x:c>
      <x:c r="F19" s="10" t="n">
        <x:v>297.78</x:v>
      </x:c>
      <x:c r="G19" s="9" t="str"/>
      <x:c r="H19" t="str"/>
      <x:c r="I19" t="str">
        <x:v>Share-count and cash use</x:v>
      </x:c>
      <x:c r="J19" t="str">
        <x:v>share_repurchases</x:v>
      </x:c>
    </x:row>
    <x:row r="20">
      <x:c r="A20" t="str">
        <x:v>Free cash flow</x:v>
      </x:c>
      <x:c r="B20" t="str">
        <x:v>$mm</x:v>
      </x:c>
      <x:c r="C20" t="str"/>
      <x:c r="D20" s="10" t="n">
        <x:v>235.27</x:v>
      </x:c>
      <x:c r="E20" s="10" t="n">
        <x:v>219.554</x:v>
      </x:c>
      <x:c r="F20" s="10" t="n">
        <x:v>212.07</x:v>
      </x:c>
      <x:c r="G20" s="9" t="n">
        <x:f>F20/F5</x:f>
        <x:v>0.11349782231037403</x:v>
      </x:c>
      <x:c r="H20" t="str"/>
      <x:c r="I20" t="str">
        <x:v>FCF base</x:v>
      </x:c>
      <x:c r="J20" t="str">
        <x:v>free_cash_flow</x:v>
      </x:c>
    </x:row>
    <x:row r="21">
      <x:c r="A21" t="str">
        <x:v>Cash</x:v>
      </x:c>
      <x:c r="B21" t="str">
        <x:v>$mm</x:v>
      </x:c>
      <x:c r="C21" t="str">
        <x:v>raw/filings/yeti-2026-02-27-10-k-yeti-20260103.htm | us-gaap:CashCashEquivalentsRestrictedCashAndRestrictedCashEquivalents | 0001670592-26-000013</x:v>
      </x:c>
      <x:c r="D21" s="10" t="n">
        <x:v>438.96</x:v>
      </x:c>
      <x:c r="E21" s="10" t="n">
        <x:v>358.795</x:v>
      </x:c>
      <x:c r="F21" s="10" t="n">
        <x:v>188.342</x:v>
      </x:c>
      <x:c r="G21" s="9" t="str"/>
      <x:c r="H21" t="str"/>
      <x:c r="I21" t="str">
        <x:v>Cash bridge</x:v>
      </x:c>
      <x:c r="J21" t="str">
        <x:v>cash</x:v>
      </x:c>
    </x:row>
    <x:row r="22">
      <x:c r="A22" t="str">
        <x:v>Accounts receivable</x:v>
      </x:c>
      <x:c r="B22" t="str">
        <x:v>$mm</x:v>
      </x:c>
      <x:c r="C22" t="str">
        <x:v>raw/filings/yeti-2026-02-27-10-k-yeti-20260103.htm | us-gaap:AccountsReceivableNetCurrent | 0001670592-26-000013</x:v>
      </x:c>
      <x:c r="D22" s="10" t="n">
        <x:v>95.774</x:v>
      </x:c>
      <x:c r="E22" s="10" t="n">
        <x:v>120.19</x:v>
      </x:c>
      <x:c r="F22" s="10" t="n">
        <x:v>141.424</x:v>
      </x:c>
      <x:c r="G22" s="9" t="str"/>
      <x:c r="H22" t="str"/>
      <x:c r="I22" t="str">
        <x:v>Working capital driver</x:v>
      </x:c>
      <x:c r="J22" t="str">
        <x:v>accounts_receivable</x:v>
      </x:c>
    </x:row>
    <x:row r="23">
      <x:c r="A23" t="str">
        <x:v>Inventory</x:v>
      </x:c>
      <x:c r="B23" t="str">
        <x:v>$mm</x:v>
      </x:c>
      <x:c r="C23" t="str">
        <x:v>raw/filings/yeti-2026-02-27-10-k-yeti-20260103.htm | us-gaap:InventoryNet | 0001670592-26-000013</x:v>
      </x:c>
      <x:c r="D23" s="10" t="n">
        <x:v>337.208</x:v>
      </x:c>
      <x:c r="E23" s="10" t="n">
        <x:v>310.058</x:v>
      </x:c>
      <x:c r="F23" s="10" t="n">
        <x:v>290.611</x:v>
      </x:c>
      <x:c r="G23" s="9" t="str"/>
      <x:c r="H23" t="str"/>
      <x:c r="I23" t="str">
        <x:v>Working capital driver</x:v>
      </x:c>
      <x:c r="J23" t="str">
        <x:v>inventory</x:v>
      </x:c>
    </x:row>
    <x:row r="24">
      <x:c r="A24" t="str">
        <x:v>Prepaids and other current assets</x:v>
      </x:c>
      <x:c r="B24" t="str">
        <x:v>$mm</x:v>
      </x:c>
      <x:c r="C24" t="str">
        <x:v>raw/filings/yeti-2026-02-27-10-k-yeti-20260103.htm | us-gaap:PrepaidExpenseAndOtherAssetsCurrent | 0001670592-26-000013</x:v>
      </x:c>
      <x:c r="D24" s="10" t="n">
        <x:v>42.463</x:v>
      </x:c>
      <x:c r="E24" s="10" t="n">
        <x:v>37.723</x:v>
      </x:c>
      <x:c r="F24" s="10" t="n">
        <x:v>39.949</x:v>
      </x:c>
      <x:c r="G24" s="9" t="str"/>
      <x:c r="H24" t="str"/>
      <x:c r="I24" t="str">
        <x:v>Working capital driver</x:v>
      </x:c>
      <x:c r="J24" t="str">
        <x:v>prepaids_other_current_assets</x:v>
      </x:c>
    </x:row>
    <x:row r="25">
      <x:c r="A25" t="str">
        <x:v>Current assets</x:v>
      </x:c>
      <x:c r="B25" t="str">
        <x:v>$mm</x:v>
      </x:c>
      <x:c r="C25" t="str">
        <x:v>raw/filings/yeti-2026-02-27-10-k-yeti-20260103.htm | us-gaap:AssetsCurrent | 0001670592-26-000013</x:v>
      </x:c>
      <x:c r="D25" s="10" t="n">
        <x:v>914.405</x:v>
      </x:c>
      <x:c r="E25" s="10" t="n">
        <x:v>826.766</x:v>
      </x:c>
      <x:c r="F25" s="10" t="n">
        <x:v>660.326</x:v>
      </x:c>
      <x:c r="G25" s="9" t="str"/>
      <x:c r="H25" t="str"/>
      <x:c r="I25" t="str">
        <x:v>Balance sheet</x:v>
      </x:c>
      <x:c r="J25" t="str">
        <x:v>current_assets</x:v>
      </x:c>
    </x:row>
    <x:row r="26">
      <x:c r="A26" t="str">
        <x:v>PP&amp;E net</x:v>
      </x:c>
      <x:c r="B26" t="str">
        <x:v>$mm</x:v>
      </x:c>
      <x:c r="C26" t="str">
        <x:v>raw/filings/yeti-2026-02-27-10-k-yeti-20260103.htm | us-gaap:PropertyPlantAndEquipmentAndFinanceLeaseRightOfUseAssetAfterAccumulatedDepreciationAndAmortization | 0001670592-26-000013</x:v>
      </x:c>
      <x:c r="D26" s="10" t="n">
        <x:v>130.714</x:v>
      </x:c>
      <x:c r="E26" s="10" t="n">
        <x:v>126.27</x:v>
      </x:c>
      <x:c r="F26" s="10" t="n">
        <x:v>142.105</x:v>
      </x:c>
      <x:c r="G26" s="9" t="str"/>
      <x:c r="H26" t="str"/>
      <x:c r="I26" t="str">
        <x:v>Capital intensity</x:v>
      </x:c>
      <x:c r="J26" t="str">
        <x:v>ppe_net</x:v>
      </x:c>
    </x:row>
    <x:row r="27">
      <x:c r="A27" t="str">
        <x:v>Goodwill</x:v>
      </x:c>
      <x:c r="B27" t="str">
        <x:v>$mm</x:v>
      </x:c>
      <x:c r="C27" t="str">
        <x:v>raw/filings/yeti-2026-02-27-10-k-yeti-20260103.htm | us-gaap:Goodwill | 0001670592-26-000013</x:v>
      </x:c>
      <x:c r="D27" s="10" t="n">
        <x:v>54.293</x:v>
      </x:c>
      <x:c r="E27" s="10" t="n">
        <x:v>72.557</x:v>
      </x:c>
      <x:c r="F27" s="10" t="n">
        <x:v>72.308</x:v>
      </x:c>
      <x:c r="G27" s="9" t="str"/>
      <x:c r="H27" t="str"/>
      <x:c r="I27" t="str">
        <x:v>Balance sheet</x:v>
      </x:c>
      <x:c r="J27" t="str">
        <x:v>goodwill</x:v>
      </x:c>
    </x:row>
    <x:row r="28">
      <x:c r="A28" t="str">
        <x:v>Intangible assets</x:v>
      </x:c>
      <x:c r="B28" t="str">
        <x:v>$mm</x:v>
      </x:c>
      <x:c r="C28" t="str">
        <x:v>raw/filings/yeti-2026-02-27-10-k-yeti-20260103.htm | us-gaap:IntangibleAssetsNetExcludingGoodwill | 0001670592-26-000013</x:v>
      </x:c>
      <x:c r="D28" s="10" t="n">
        <x:v>117.629</x:v>
      </x:c>
      <x:c r="E28" s="10" t="n">
        <x:v>172.023</x:v>
      </x:c>
      <x:c r="F28" s="10" t="n">
        <x:v>219.791</x:v>
      </x:c>
      <x:c r="G28" s="9" t="str"/>
      <x:c r="H28" t="str"/>
      <x:c r="I28" t="str">
        <x:v>Balance sheet</x:v>
      </x:c>
      <x:c r="J28" t="str">
        <x:v>intangible_assets</x:v>
      </x:c>
    </x:row>
    <x:row r="29">
      <x:c r="A29" t="str">
        <x:v>Operating lease assets</x:v>
      </x:c>
      <x:c r="B29" t="str">
        <x:v>$mm</x:v>
      </x:c>
      <x:c r="C29" t="str">
        <x:v>raw/filings/yeti-2026-02-27-10-k-yeti-20260103.htm | us-gaap:OperatingLeaseRightOfUseAsset | 0001670592-26-000013</x:v>
      </x:c>
      <x:c r="D29" s="10" t="n">
        <x:v>77.556</x:v>
      </x:c>
      <x:c r="E29" s="10" t="n">
        <x:v>78.279</x:v>
      </x:c>
      <x:c r="F29" s="10" t="n">
        <x:v>131.531</x:v>
      </x:c>
      <x:c r="G29" s="9" t="str"/>
      <x:c r="H29" t="str"/>
      <x:c r="I29" t="str">
        <x:v>Balance sheet</x:v>
      </x:c>
      <x:c r="J29" t="str">
        <x:v>operating_lease_assets</x:v>
      </x:c>
    </x:row>
    <x:row r="30">
      <x:c r="A30" t="str">
        <x:v>Total assets</x:v>
      </x:c>
      <x:c r="B30" t="str">
        <x:v>$mm</x:v>
      </x:c>
      <x:c r="C30" t="str">
        <x:v>raw/filings/yeti-2026-02-27-10-k-yeti-20260103.htm | us-gaap:Assets | 0001670592-26-000013</x:v>
      </x:c>
      <x:c r="D30" s="10" t="n">
        <x:v>1297.192</x:v>
      </x:c>
      <x:c r="E30" s="10" t="n">
        <x:v>1286.12</x:v>
      </x:c>
      <x:c r="F30" s="10" t="n">
        <x:v>1235.418</x:v>
      </x:c>
      <x:c r="G30" s="9" t="str"/>
      <x:c r="H30" t="str"/>
      <x:c r="I30" t="str">
        <x:v>Balance sheet</x:v>
      </x:c>
      <x:c r="J30" t="str">
        <x:v>total_assets</x:v>
      </x:c>
    </x:row>
    <x:row r="31">
      <x:c r="A31" t="str">
        <x:v>Accounts payable</x:v>
      </x:c>
      <x:c r="B31" t="str">
        <x:v>$mm</x:v>
      </x:c>
      <x:c r="C31" t="str">
        <x:v>raw/filings/yeti-2026-02-27-10-k-yeti-20260103.htm | us-gaap:AccountsPayableCurrent | 0001670592-26-000013</x:v>
      </x:c>
      <x:c r="D31" s="10" t="n">
        <x:v>190.392</x:v>
      </x:c>
      <x:c r="E31" s="10" t="n">
        <x:v>158.499</x:v>
      </x:c>
      <x:c r="F31" s="10" t="n">
        <x:v>140.214</x:v>
      </x:c>
      <x:c r="G31" s="9" t="str"/>
      <x:c r="H31" t="str"/>
      <x:c r="I31" t="str">
        <x:v>Working capital driver</x:v>
      </x:c>
      <x:c r="J31" t="str">
        <x:v>accounts_payable</x:v>
      </x:c>
    </x:row>
    <x:row r="32">
      <x:c r="A32" t="str">
        <x:v>Current liabilities</x:v>
      </x:c>
      <x:c r="B32" t="str">
        <x:v>$mm</x:v>
      </x:c>
      <x:c r="C32" t="str">
        <x:v>raw/filings/yeti-2026-02-27-10-k-yeti-20260103.htm | us-gaap:LiabilitiesCurrent | 0001670592-26-000013</x:v>
      </x:c>
      <x:c r="D32" s="10" t="n">
        <x:v>398.353</x:v>
      </x:c>
      <x:c r="E32" s="10" t="n">
        <x:v>379.504</x:v>
      </x:c>
      <x:c r="F32" s="10" t="n">
        <x:v>334.339</x:v>
      </x:c>
      <x:c r="G32" s="9" t="str"/>
      <x:c r="H32" t="str"/>
      <x:c r="I32" t="str">
        <x:v>Balance sheet</x:v>
      </x:c>
      <x:c r="J32" t="str">
        <x:v>current_liabilities</x:v>
      </x:c>
    </x:row>
    <x:row r="33">
      <x:c r="A33" t="str">
        <x:v>Current debt</x:v>
      </x:c>
      <x:c r="B33" t="str">
        <x:v>$mm</x:v>
      </x:c>
      <x:c r="C33" t="str">
        <x:v>raw/filings/yeti-2026-02-27-10-k-yeti-20260103.htm | us-gaap:LongTermDebtCurrent | 0001670592-26-000013</x:v>
      </x:c>
      <x:c r="D33" s="10" t="n">
        <x:v>4.219</x:v>
      </x:c>
      <x:c r="E33" s="10" t="n">
        <x:v>4.219</x:v>
      </x:c>
      <x:c r="F33" s="10" t="n">
        <x:v>4.219</x:v>
      </x:c>
      <x:c r="G33" s="9" t="str"/>
      <x:c r="H33" t="str"/>
      <x:c r="I33" t="str">
        <x:v>Funded debt</x:v>
      </x:c>
      <x:c r="J33" t="str">
        <x:v>current_debt</x:v>
      </x:c>
    </x:row>
    <x:row r="34">
      <x:c r="A34" t="str">
        <x:v>Long-term debt</x:v>
      </x:c>
      <x:c r="B34" t="str">
        <x:v>$mm</x:v>
      </x:c>
      <x:c r="C34" t="str">
        <x:v>raw/filings/yeti-2026-02-27-10-k-yeti-20260103.htm | us-gaap:LongTermDebtNoncurrent | 0001670592-26-000013</x:v>
      </x:c>
      <x:c r="D34" s="10" t="n">
        <x:v>78.645</x:v>
      </x:c>
      <x:c r="E34" s="10" t="n">
        <x:v>72.821</x:v>
      </x:c>
      <x:c r="F34" s="10" t="n">
        <x:v>68.301</x:v>
      </x:c>
      <x:c r="G34" s="9" t="str"/>
      <x:c r="H34" t="str"/>
      <x:c r="I34" t="str">
        <x:v>Funded debt</x:v>
      </x:c>
      <x:c r="J34" t="str">
        <x:v>long_term_debt</x:v>
      </x:c>
    </x:row>
    <x:row r="35">
      <x:c r="A35" t="str">
        <x:v>Operating lease liabilities</x:v>
      </x:c>
      <x:c r="B35" t="str">
        <x:v>$mm</x:v>
      </x:c>
      <x:c r="C35" t="str">
        <x:v>raw/filings/yeti-2026-02-27-10-k-yeti-20260103.htm | us-gaap:OperatingLeaseLiability | 0001670592-26-000013</x:v>
      </x:c>
      <x:c r="D35" s="10" t="n">
        <x:v>90.889</x:v>
      </x:c>
      <x:c r="E35" s="10" t="n">
        <x:v>93.207</x:v>
      </x:c>
      <x:c r="F35" s="10" t="n">
        <x:v>154.989</x:v>
      </x:c>
      <x:c r="G35" s="9" t="str"/>
      <x:c r="H35" t="str"/>
      <x:c r="I35" t="str">
        <x:v>WACC debt weighting</x:v>
      </x:c>
      <x:c r="J35" t="str">
        <x:v>operating_lease_liabilities</x:v>
      </x:c>
    </x:row>
    <x:row r="36">
      <x:c r="A36" t="str">
        <x:v>Total liabilities</x:v>
      </x:c>
      <x:c r="B36" t="str">
        <x:v>$mm</x:v>
      </x:c>
      <x:c r="C36" t="str">
        <x:v>raw/filings/yeti-2026-02-27-10-k-yeti-20260103.htm | us-gaap:Liabilities | 0001670592-26-000013</x:v>
      </x:c>
      <x:c r="D36" s="10" t="n">
        <x:v>573.582</x:v>
      </x:c>
      <x:c r="E36" s="10" t="n">
        <x:v>546.013</x:v>
      </x:c>
      <x:c r="F36" s="10" t="n">
        <x:v>585.142</x:v>
      </x:c>
      <x:c r="G36" s="9" t="str"/>
      <x:c r="H36" t="str"/>
      <x:c r="I36" t="str">
        <x:v>Balance sheet</x:v>
      </x:c>
      <x:c r="J36" t="str">
        <x:v>total_liabilities</x:v>
      </x:c>
    </x:row>
    <x:row r="37">
      <x:c r="A37" t="str">
        <x:v>Stockholders' equity</x:v>
      </x:c>
      <x:c r="B37" t="str">
        <x:v>$mm</x:v>
      </x:c>
      <x:c r="C37" t="str">
        <x:v>raw/filings/yeti-2026-02-27-10-k-yeti-20260103.htm | us-gaap:StockholdersEquity | 0001670592-26-000013</x:v>
      </x:c>
      <x:c r="D37" s="10" t="n">
        <x:v>723.61</x:v>
      </x:c>
      <x:c r="E37" s="10" t="n">
        <x:v>740.107</x:v>
      </x:c>
      <x:c r="F37" s="10" t="n">
        <x:v>650.276</x:v>
      </x:c>
      <x:c r="G37" s="9" t="str"/>
      <x:c r="H37" t="str"/>
      <x:c r="I37" t="str">
        <x:v>Balance sheet</x:v>
      </x:c>
      <x:c r="J37" t="str">
        <x:v>stockholders_equity</x:v>
      </x:c>
    </x:row>
    <x:row r="38">
      <x:c r="A38" t="str">
        <x:v>Funded debt</x:v>
      </x:c>
      <x:c r="B38" t="str">
        <x:v>$mm</x:v>
      </x:c>
      <x:c r="C38" t="str"/>
      <x:c r="D38" s="10" t="n">
        <x:v>82.864</x:v>
      </x:c>
      <x:c r="E38" s="10" t="n">
        <x:v>77.04</x:v>
      </x:c>
      <x:c r="F38" s="10" t="n">
        <x:v>72.52</x:v>
      </x:c>
      <x:c r="G38" s="9" t="str"/>
      <x:c r="H38" t="str"/>
      <x:c r="I38" t="str">
        <x:v>Equity bridge</x:v>
      </x:c>
      <x:c r="J38" t="str">
        <x:v>funded_debt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40999984741211" hidden="0" customWidth="1"/>
    <x:col min="2" max="2" width="34.9900016784668" hidden="0" customWidth="1"/>
    <x:col min="3" max="3" width="46.970001220703125" hidden="0" customWidth="1"/>
    <x:col min="4" max="4" width="6.860000133514404" hidden="0" customWidth="1"/>
    <x:col min="5" max="5" width="6.860000133514404" hidden="0" customWidth="1"/>
    <x:col min="6" max="6" width="6.860000133514404" hidden="0" customWidth="1"/>
  </x:cols>
  <x:sheetData>
    <x:row r="1">
      <x:c r="A1" s="2" t="str">
        <x:v>Assumptions</x:v>
      </x:c>
    </x:row>
    <x:row r="2">
      <x:c r="A2" s="3" t="str">
        <x:v>Blue/yellow cells are key inputs. Formula cells are black.</x:v>
      </x:c>
    </x:row>
    <x:row r="4">
      <x:c r="A4" t="str">
        <x:v>Valuation date</x:v>
      </x:c>
      <x:c r="B4" t="str">
        <x:v>2026-04-27</x:v>
      </x:c>
      <x:c r="C4" t="str">
        <x:v>Current date / source pull date</x:v>
      </x:c>
    </x:row>
    <x:row r="5">
      <x:c r="A5" t="str">
        <x:v>Current share price</x:v>
      </x:c>
      <x:c r="B5" s="14" t="n">
        <x:v>39.62</x:v>
      </x:c>
      <x:c r="C5" t="str">
        <x:v>StockAnalysis intraday quote</x:v>
      </x:c>
    </x:row>
    <x:row r="6">
      <x:c r="A6" t="str">
        <x:v>Current diluted/share count</x:v>
      </x:c>
      <x:c r="B6" s="15" t="n">
        <x:v>75.693642</x:v>
      </x:c>
      <x:c r="C6" t="str">
        <x:v>StockAnalysis shares outstanding, mm</x:v>
      </x:c>
    </x:row>
    <x:row r="7">
      <x:c r="A7" t="str">
        <x:v>Market capitalization</x:v>
      </x:c>
      <x:c r="B7" s="16" t="n">
        <x:v>2998.982096</x:v>
      </x:c>
      <x:c r="C7" t="str">
        <x:v>$mm</x:v>
      </x:c>
    </x:row>
    <x:row r="8">
      <x:c r="A8" t="str">
        <x:v>FY2025 cash</x:v>
      </x:c>
      <x:c r="B8" s="16" t="n">
        <x:v>188.342</x:v>
      </x:c>
      <x:c r="C8" t="str">
        <x:v>$mm, SEC 10-K</x:v>
      </x:c>
    </x:row>
    <x:row r="9">
      <x:c r="A9" t="str">
        <x:v>FY2025 funded debt</x:v>
      </x:c>
      <x:c r="B9" s="16" t="n">
        <x:v>72.52</x:v>
      </x:c>
      <x:c r="C9" t="str">
        <x:v>$mm, current + long-term debt</x:v>
      </x:c>
    </x:row>
    <x:row r="10">
      <x:c r="A10" t="str">
        <x:v>Total debt for WACC weight</x:v>
      </x:c>
      <x:c r="B10" s="16" t="n">
        <x:v>228.462</x:v>
      </x:c>
      <x:c r="C10" t="str">
        <x:v>$mm, includes lease/debt items per StockAnalysis</x:v>
      </x:c>
    </x:row>
    <x:row r="11">
      <x:c r="A11" t="str">
        <x:v>Risk-free rate</x:v>
      </x:c>
      <x:c r="B11" s="17" t="n">
        <x:v>0.0431</x:v>
      </x:c>
      <x:c r="C11" t="str">
        <x:v>10-year Treasury, latest fetched row</x:v>
      </x:c>
    </x:row>
    <x:row r="12">
      <x:c r="A12" t="str">
        <x:v>Equity risk premium</x:v>
      </x:c>
      <x:c r="B12" s="17" t="n">
        <x:v>0.05</x:v>
      </x:c>
      <x:c r="C12" t="str">
        <x:v>Kroll recommended U.S. ERP</x:v>
      </x:c>
    </x:row>
    <x:row r="13">
      <x:c r="A13" t="str">
        <x:v>Raw beta</x:v>
      </x:c>
      <x:c r="B13" s="18" t="n">
        <x:v>1.798</x:v>
      </x:c>
      <x:c r="C13" t="str">
        <x:v>StockAnalysis 5Y beta</x:v>
      </x:c>
    </x:row>
    <x:row r="14">
      <x:c r="A14" t="str">
        <x:v>Beta used</x:v>
      </x:c>
      <x:c r="B14" s="18" t="n">
        <x:f>0.5*B13+0.5*1.0</x:f>
        <x:v>1.399</x:v>
      </x:c>
      <x:c r="C14" t="str">
        <x:v>50% raw beta / 50% market beta to reduce small-cap noise</x:v>
      </x:c>
    </x:row>
    <x:row r="15">
      <x:c r="A15" t="str">
        <x:v>Pre-tax cost of debt</x:v>
      </x:c>
      <x:c r="B15" s="17" t="n">
        <x:v>0.055</x:v>
      </x:c>
      <x:c r="C15" t="str">
        <x:v>Analyst assumption</x:v>
      </x:c>
    </x:row>
    <x:row r="16">
      <x:c r="A16" t="str">
        <x:v>Tax rate</x:v>
      </x:c>
      <x:c r="B16" s="17" t="n">
        <x:v>0.24</x:v>
      </x:c>
      <x:c r="C16" t="str">
        <x:v>Management FY2026 outlook</x:v>
      </x:c>
    </x:row>
    <x:row r="17">
      <x:c r="A17" t="str">
        <x:v>Cost of equity</x:v>
      </x:c>
      <x:c r="B17" s="19" t="n">
        <x:f>B11+B14*B12</x:f>
        <x:v>0.11305</x:v>
      </x:c>
      <x:c r="C17" t="str">
        <x:v>CAPM</x:v>
      </x:c>
    </x:row>
    <x:row r="18">
      <x:c r="A18" t="str">
        <x:v>WACC</x:v>
      </x:c>
      <x:c r="B18" s="19" t="n">
        <x:f>(B7/(B7+B10))*B17+(B10/(B7+B10))*B15*(1-B16)</x:f>
        <x:v>0.10800640605512753</x:v>
      </x:c>
      <x:c r="C18" t="str">
        <x:v>Market-cap and total-debt weighted</x:v>
      </x:c>
    </x:row>
    <x:row r="19">
      <x:c r="A19" t="str">
        <x:v>Terminal growth - base</x:v>
      </x:c>
      <x:c r="B19" s="9" t="n">
        <x:v>0.0275</x:v>
      </x:c>
      <x:c r="C19" t="str">
        <x:v>ADR 0004</x:v>
      </x:c>
    </x:row>
    <x:row r="20">
      <x:c r="A20" t="str">
        <x:v>Exit EBITDA multiple</x:v>
      </x:c>
      <x:c r="B20" s="20" t="n">
        <x:v>11.5</x:v>
      </x:c>
      <x:c r="C20" t="str">
        <x:v>Peer/context triangulation</x:v>
      </x:c>
    </x:row>
    <x:row r="21">
      <x:c r="A21" t="str">
        <x:v>Target P/E multiple</x:v>
      </x:c>
      <x:c r="B21" s="20" t="n">
        <x:v>16</x:v>
      </x:c>
      <x:c r="C21" t="str">
        <x:v>Peer/context triangulation</x:v>
      </x:c>
    </x:row>
    <x:row r="22">
      <x:c r="A22" t="str">
        <x:v>Price-target method weights</x:v>
      </x:c>
      <x:c r="B22" t="str">
        <x:v>50% DCF / 25% EV-EBITDA / 25% P/E</x:v>
      </x:c>
      <x:c r="C22" t="str">
        <x:v>ADR 0005</x:v>
      </x:c>
    </x:row>
    <x:row r="23">
      <x:c r="A23" t="str">
        <x:v>Recommendation threshold</x:v>
      </x:c>
      <x:c r="B23" t="str">
        <x:v>Hold unless upside &gt;20% or downside &gt;15%</x:v>
      </x:c>
      <x:c r="C23" t="str">
        <x:v>Risk-adjusted PM framing</x:v>
      </x:c>
    </x:row>
    <x:row r="25">
      <x:c r="A25" s="6" t="str">
        <x:v>Base model forecast drivers</x:v>
      </x:c>
      <x:c r="B25" s="6" t="str">
        <x:v>FY2026E</x:v>
      </x:c>
      <x:c r="C25" s="6" t="str">
        <x:v>FY2027E</x:v>
      </x:c>
      <x:c r="D25" s="6" t="str">
        <x:v>FY2028E</x:v>
      </x:c>
      <x:c r="E25" s="6" t="str">
        <x:v>FY2029E</x:v>
      </x:c>
      <x:c r="F25" s="6" t="str">
        <x:v>FY2030E</x:v>
      </x:c>
      <x:c r="G25" s="6" t="str">
        <x:v>Source / note</x:v>
      </x:c>
      <x:c r="H25" s="6" t="str"/>
    </x:row>
    <x:row r="26">
      <x:c r="A26" t="str">
        <x:v>Revenue growth</x:v>
      </x:c>
      <x:c r="B26" s="17" t="n">
        <x:v>0.07</x:v>
      </x:c>
      <x:c r="C26" s="17" t="n">
        <x:v>0.07</x:v>
      </x:c>
      <x:c r="D26" s="17" t="n">
        <x:v>0.06</x:v>
      </x:c>
      <x:c r="E26" s="17" t="n">
        <x:v>0.055</x:v>
      </x:c>
      <x:c r="F26" s="17" t="n">
        <x:v>0.05</x:v>
      </x:c>
      <x:c r="G26" t="str">
        <x:v>FY2026 midpoint from guidance; outer years analyst assumptions</x:v>
      </x:c>
    </x:row>
    <x:row r="27">
      <x:c r="A27" t="str">
        <x:v>Gross margin</x:v>
      </x:c>
      <x:c r="B27" s="17" t="n">
        <x:v>0.578</x:v>
      </x:c>
      <x:c r="C27" s="17" t="n">
        <x:v>0.581</x:v>
      </x:c>
      <x:c r="D27" s="17" t="n">
        <x:v>0.584</x:v>
      </x:c>
      <x:c r="E27" s="17" t="n">
        <x:v>0.586</x:v>
      </x:c>
      <x:c r="F27" s="17" t="n">
        <x:v>0.587</x:v>
      </x:c>
      <x:c r="G27" t="str">
        <x:v>Tariff/supply-chain normalization assumption</x:v>
      </x:c>
    </x:row>
    <x:row r="28">
      <x:c r="A28" t="str">
        <x:v>Operating margin</x:v>
      </x:c>
      <x:c r="B28" s="17" t="n">
        <x:v>0.128</x:v>
      </x:c>
      <x:c r="C28" s="17" t="n">
        <x:v>0.133</x:v>
      </x:c>
      <x:c r="D28" s="17" t="n">
        <x:v>0.137</x:v>
      </x:c>
      <x:c r="E28" s="17" t="n">
        <x:v>0.14</x:v>
      </x:c>
      <x:c r="F28" s="17" t="n">
        <x:v>0.142</x:v>
      </x:c>
      <x:c r="G28" t="str">
        <x:v>GAAP EBIT margin ramp; adjusted margin guide is 14.4%</x:v>
      </x:c>
    </x:row>
    <x:row r="29">
      <x:c r="A29" t="str">
        <x:v>Tax rate</x:v>
      </x:c>
      <x:c r="B29" s="17" t="n">
        <x:v>0.24</x:v>
      </x:c>
      <x:c r="C29" s="17" t="n">
        <x:v>0.24</x:v>
      </x:c>
      <x:c r="D29" s="17" t="n">
        <x:v>0.24</x:v>
      </x:c>
      <x:c r="E29" s="17" t="n">
        <x:v>0.24</x:v>
      </x:c>
      <x:c r="F29" s="17" t="n">
        <x:v>0.24</x:v>
      </x:c>
      <x:c r="G29" t="str">
        <x:v>FY2026 management guide</x:v>
      </x:c>
    </x:row>
    <x:row r="30">
      <x:c r="A30" t="str">
        <x:v>D&amp;A % sales</x:v>
      </x:c>
      <x:c r="B30" s="17" t="n">
        <x:v>0.029</x:v>
      </x:c>
      <x:c r="C30" s="17" t="n">
        <x:v>0.029</x:v>
      </x:c>
      <x:c r="D30" s="17" t="n">
        <x:v>0.028</x:v>
      </x:c>
      <x:c r="E30" s="17" t="n">
        <x:v>0.028</x:v>
      </x:c>
      <x:c r="F30" s="17" t="n">
        <x:v>0.0275</x:v>
      </x:c>
      <x:c r="G30" t="str">
        <x:v>Historical D&amp;A around 2.6%-2.9% of sales</x:v>
      </x:c>
    </x:row>
    <x:row r="31">
      <x:c r="A31" t="str">
        <x:v>Capex % sales</x:v>
      </x:c>
      <x:c r="B31" s="17" t="n">
        <x:v>0.03251156468867541</x:v>
      </x:c>
      <x:c r="C31" s="17" t="n">
        <x:v>0.028</x:v>
      </x:c>
      <x:c r="D31" s="17" t="n">
        <x:v>0.027</x:v>
      </x:c>
      <x:c r="E31" s="17" t="n">
        <x:v>0.026</x:v>
      </x:c>
      <x:c r="F31" s="17" t="n">
        <x:v>0.026</x:v>
      </x:c>
      <x:c r="G31" t="str">
        <x:v>FY2026 midpoint from guide; outer years normalize</x:v>
      </x:c>
    </x:row>
    <x:row r="32">
      <x:c r="A32" t="str">
        <x:v>Stock comp % sales</x:v>
      </x:c>
      <x:c r="B32" s="17" t="n">
        <x:v>0.025</x:v>
      </x:c>
      <x:c r="C32" s="17" t="n">
        <x:v>0.024</x:v>
      </x:c>
      <x:c r="D32" s="17" t="n">
        <x:v>0.023</x:v>
      </x:c>
      <x:c r="E32" s="17" t="n">
        <x:v>0.022</x:v>
      </x:c>
      <x:c r="F32" s="17" t="n">
        <x:v>0.021</x:v>
      </x:c>
      <x:c r="G32" t="str">
        <x:v>Historical SBC near 2.5% of sales</x:v>
      </x:c>
    </x:row>
    <x:row r="33">
      <x:c r="A33" t="str">
        <x:v>Share repurchases</x:v>
      </x:c>
      <x:c r="B33" s="16" t="n">
        <x:v>100</x:v>
      </x:c>
      <x:c r="C33" s="16" t="n">
        <x:v>75</x:v>
      </x:c>
      <x:c r="D33" s="16" t="n">
        <x:v>75</x:v>
      </x:c>
      <x:c r="E33" s="16" t="n">
        <x:v>75</x:v>
      </x:c>
      <x:c r="F33" s="16" t="n">
        <x:v>75</x:v>
      </x:c>
      <x:c r="G33" t="str">
        <x:v>$mm; FY2026 from guidance</x:v>
      </x:c>
    </x:row>
    <x:row r="34">
      <x:c r="A34" t="str">
        <x:v>Avg repurchase price</x:v>
      </x:c>
      <x:c r="B34" s="14" t="n">
        <x:v>42.7896</x:v>
      </x:c>
      <x:c r="C34" s="14" t="n">
        <x:v>44.3744</x:v>
      </x:c>
      <x:c r="D34" s="14" t="n">
        <x:v>46.355399999999996</x:v>
      </x:c>
      <x:c r="E34" s="14" t="n">
        <x:v>48.3364</x:v>
      </x:c>
      <x:c r="F34" s="14" t="n">
        <x:v>50.3174</x:v>
      </x:c>
      <x:c r="G34" t="str">
        <x:v>$/share assumption</x:v>
      </x:c>
    </x:row>
    <x:row r="35">
      <x:c r="A35" t="str">
        <x:v>AR % sales</x:v>
      </x:c>
      <x:c r="B35" s="17" t="n">
        <x:v>0.07568876324997566</x:v>
      </x:c>
      <x:c r="C35" s="17" t="n">
        <x:v>0.07568876324997566</x:v>
      </x:c>
      <x:c r="D35" s="17" t="n">
        <x:v>0.07568876324997566</x:v>
      </x:c>
      <x:c r="E35" s="17" t="n">
        <x:v>0.07568876324997566</x:v>
      </x:c>
      <x:c r="F35" s="17" t="n">
        <x:v>0.07568876324997566</x:v>
      </x:c>
      <x:c r="G35" t="str">
        <x:v>FY2025 ratio</x:v>
      </x:c>
    </x:row>
    <x:row r="36">
      <x:c r="A36" t="str">
        <x:v>Inventory % COGS</x:v>
      </x:c>
      <x:c r="B36" s="17" t="n">
        <x:v>0.36517636119174174</x:v>
      </x:c>
      <x:c r="C36" s="17" t="n">
        <x:v>0.36517636119174174</x:v>
      </x:c>
      <x:c r="D36" s="17" t="n">
        <x:v>0.36517636119174174</x:v>
      </x:c>
      <x:c r="E36" s="17" t="n">
        <x:v>0.36517636119174174</x:v>
      </x:c>
      <x:c r="F36" s="17" t="n">
        <x:v>0.36517636119174174</x:v>
      </x:c>
      <x:c r="G36" t="str">
        <x:v>FY2025 ratio</x:v>
      </x:c>
    </x:row>
    <x:row r="37">
      <x:c r="A37" t="str">
        <x:v>AP % COGS</x:v>
      </x:c>
      <x:c r="B37" s="17" t="n">
        <x:v>0.17619029667885552</x:v>
      </x:c>
      <x:c r="C37" s="17" t="n">
        <x:v>0.17619029667885552</x:v>
      </x:c>
      <x:c r="D37" s="17" t="n">
        <x:v>0.17619029667885552</x:v>
      </x:c>
      <x:c r="E37" s="17" t="n">
        <x:v>0.17619029667885552</x:v>
      </x:c>
      <x:c r="F37" s="17" t="n">
        <x:v>0.17619029667885552</x:v>
      </x:c>
      <x:c r="G37" t="str">
        <x:v>FY2025 ratio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099998474121094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</x:cols>
  <x:sheetData>
    <x:row r="1">
      <x:c r="A1" s="2" t="str">
        <x:v>Three-Statement Model</x:v>
      </x:c>
    </x:row>
    <x:row r="2">
      <x:c r="A2" s="3" t="str">
        <x:v>Base case; amounts in $mm except per-share data and percentages.</x:v>
      </x:c>
    </x:row>
    <x:row r="4">
      <x:c r="B4" s="6" t="str">
        <x:v>FY2023A</x:v>
      </x:c>
      <x:c r="C4" s="6" t="str">
        <x:v>FY2024A</x:v>
      </x:c>
      <x:c r="D4" s="6" t="str">
        <x:v>FY2025A</x:v>
      </x:c>
      <x:c r="E4" s="6" t="str">
        <x:v>FY2026E</x:v>
      </x:c>
      <x:c r="F4" s="6" t="str">
        <x:v>FY2027E</x:v>
      </x:c>
      <x:c r="G4" s="6" t="str">
        <x:v>FY2028E</x:v>
      </x:c>
      <x:c r="H4" s="6" t="str">
        <x:v>FY2029E</x:v>
      </x:c>
      <x:c r="I4" s="6" t="str">
        <x:v>FY2030E</x:v>
      </x:c>
    </x:row>
    <x:row r="5">
      <x:c r="A5" s="8" t="str">
        <x:v>Revenue</x:v>
      </x:c>
      <x:c r="B5" s="21" t="n">
        <x:f>Historical!D5</x:f>
        <x:v>1658.713</x:v>
      </x:c>
      <x:c r="C5" s="21" t="n">
        <x:f>Historical!E5</x:f>
        <x:v>1829.873</x:v>
      </x:c>
      <x:c r="D5" s="21" t="n">
        <x:f>Historical!F5</x:f>
        <x:v>1868.494</x:v>
      </x:c>
      <x:c r="E5" s="21" t="n">
        <x:f>D5*(1+Assumptions!B26)</x:f>
        <x:v>1999.2885800000001</x:v>
      </x:c>
      <x:c r="F5" s="21" t="n">
        <x:f>E5*(1+Assumptions!C26)</x:f>
        <x:v>2139.2387806</x:v>
      </x:c>
      <x:c r="G5" s="21" t="n">
        <x:f>F5*(1+Assumptions!D26)</x:f>
        <x:v>2267.593107436</x:v>
      </x:c>
      <x:c r="H5" s="21" t="n">
        <x:f>G5*(1+Assumptions!E26)</x:f>
        <x:v>2392.31072834498</x:v>
      </x:c>
      <x:c r="I5" s="21" t="n">
        <x:f>H5*(1+Assumptions!F26)</x:f>
        <x:v>2511.926264762229</x:v>
      </x:c>
    </x:row>
    <x:row r="6">
      <x:c r="A6" t="str">
        <x:v>Revenue growth</x:v>
      </x:c>
      <x:c r="B6" s="9" t="str">
        <x:v>%</x:v>
      </x:c>
      <x:c r="C6" s="9" t="n">
        <x:f>C5/B5-1</x:f>
        <x:v>0.10318843585358062</x:v>
      </x:c>
      <x:c r="D6" s="9" t="n">
        <x:f>D5/C5-1</x:f>
        <x:v>0.02110583630667251</x:v>
      </x:c>
      <x:c r="E6" s="9" t="n">
        <x:f>E5/D5-1</x:f>
        <x:v>0.07000000000000006</x:v>
      </x:c>
      <x:c r="F6" s="9" t="n">
        <x:f>F5/E5-1</x:f>
        <x:v>0.07000000000000006</x:v>
      </x:c>
      <x:c r="G6" s="9" t="n">
        <x:f>G5/F5-1</x:f>
        <x:v>0.06000000000000005</x:v>
      </x:c>
      <x:c r="H6" s="9" t="n">
        <x:f>H5/G5-1</x:f>
        <x:v>0.05499999999999994</x:v>
      </x:c>
      <x:c r="I6" s="9" t="n">
        <x:f>I5/H5-1</x:f>
        <x:v>0.050000000000000044</x:v>
      </x:c>
    </x:row>
    <x:row r="7">
      <x:c r="A7" t="str">
        <x:v>Gross profit</x:v>
      </x:c>
      <x:c r="B7" s="10" t="n">
        <x:f>Historical!D7</x:f>
        <x:v>943.186</x:v>
      </x:c>
      <x:c r="C7" s="10" t="n">
        <x:f>Historical!E7</x:f>
        <x:v>1063.284</x:v>
      </x:c>
      <x:c r="D7" s="10" t="n">
        <x:f>Historical!F7</x:f>
        <x:v>1072.684</x:v>
      </x:c>
      <x:c r="E7" s="10" t="n">
        <x:f>E5*E8</x:f>
        <x:v>1155.58879924</x:v>
      </x:c>
      <x:c r="F7" s="10" t="n">
        <x:f>F5*F8</x:f>
        <x:v>1242.8977315286</x:v>
      </x:c>
      <x:c r="G7" s="10" t="n">
        <x:f>G5*G8</x:f>
        <x:v>1324.2743747426239</x:v>
      </x:c>
      <x:c r="H7" s="10" t="n">
        <x:f>H5*H8</x:f>
        <x:v>1401.8940868101581</x:v>
      </x:c>
      <x:c r="I7" s="10" t="n">
        <x:f>I5*I8</x:f>
        <x:v>1474.5007174154284</x:v>
      </x:c>
    </x:row>
    <x:row r="8">
      <x:c r="A8" t="str">
        <x:v>Gross margin</x:v>
      </x:c>
      <x:c r="B8" s="9" t="n">
        <x:f>B7/B5</x:f>
        <x:v>0.5686251931467349</x:v>
      </x:c>
      <x:c r="C8" s="9" t="n">
        <x:f>C7/C5</x:f>
        <x:v>0.5810698338081386</x:v>
      </x:c>
      <x:c r="D8" s="9" t="n">
        <x:f>D7/D5</x:f>
        <x:v>0.5740901496071168</x:v>
      </x:c>
      <x:c r="E8" s="9" t="n">
        <x:f>Assumptions!B27</x:f>
        <x:v>0.578</x:v>
      </x:c>
      <x:c r="F8" s="9" t="n">
        <x:f>Assumptions!C27</x:f>
        <x:v>0.581</x:v>
      </x:c>
      <x:c r="G8" s="9" t="n">
        <x:f>Assumptions!D27</x:f>
        <x:v>0.584</x:v>
      </x:c>
      <x:c r="H8" s="9" t="n">
        <x:f>Assumptions!E27</x:f>
        <x:v>0.586</x:v>
      </x:c>
      <x:c r="I8" s="9" t="n">
        <x:f>Assumptions!F27</x:f>
        <x:v>0.587</x:v>
      </x:c>
    </x:row>
    <x:row r="9">
      <x:c r="A9" t="str">
        <x:v>SG&amp;A</x:v>
      </x:c>
      <x:c r="B9" s="10" t="n">
        <x:f>Historical!D8</x:f>
        <x:v>717.728</x:v>
      </x:c>
      <x:c r="C9" s="10" t="n">
        <x:f>Historical!E8</x:f>
        <x:v>817.908</x:v>
      </x:c>
      <x:c r="D9" s="10" t="n">
        <x:f>Historical!F8</x:f>
        <x:v>859.127</x:v>
      </x:c>
      <x:c r="E9" s="10" t="n">
        <x:f>E7-E11</x:f>
        <x:v>899.6798610000001</x:v>
      </x:c>
      <x:c r="F9" s="10" t="n">
        <x:f>F7-F11</x:f>
        <x:v>958.3789737087999</x:v>
      </x:c>
      <x:c r="G9" s="10" t="n">
        <x:f>G7-G11</x:f>
        <x:v>1013.6141190238918</x:v>
      </x:c>
      <x:c r="H9" s="10" t="n">
        <x:f>H7-H11</x:f>
        <x:v>1066.970584841861</x:v>
      </x:c>
      <x:c r="I9" s="10" t="n">
        <x:f>I7-I11</x:f>
        <x:v>1117.807187819192</x:v>
      </x:c>
    </x:row>
    <x:row r="10">
      <x:c r="A10" t="str">
        <x:v>SG&amp;A % sales</x:v>
      </x:c>
      <x:c r="B10" s="9" t="n">
        <x:f>B9/B5</x:f>
        <x:v>0.4327017392400011</x:v>
      </x:c>
      <x:c r="C10" s="9" t="n">
        <x:f>C9/C5</x:f>
        <x:v>0.44697528189114766</x:v>
      </x:c>
      <x:c r="D10" s="9" t="n">
        <x:f>D9/D5</x:f>
        <x:v>0.45979649921273497</x:v>
      </x:c>
      <x:c r="E10" s="9" t="n">
        <x:f>E9/E5</x:f>
        <x:v>0.45</x:v>
      </x:c>
      <x:c r="F10" s="9" t="n">
        <x:f>F9/F5</x:f>
        <x:v>0.4479999999999999</x:v>
      </x:c>
      <x:c r="G10" s="9" t="n">
        <x:f>G9/G5</x:f>
        <x:v>0.4469999999999999</x:v>
      </x:c>
      <x:c r="H10" s="9" t="n">
        <x:f>H9/H5</x:f>
        <x:v>0.44599999999999995</x:v>
      </x:c>
      <x:c r="I10" s="9" t="n">
        <x:f>I9/I5</x:f>
        <x:v>0.445</x:v>
      </x:c>
    </x:row>
    <x:row r="11">
      <x:c r="A11" t="str">
        <x:v>Operating income</x:v>
      </x:c>
      <x:c r="B11" s="10" t="n">
        <x:f>Historical!D9</x:f>
        <x:v>225.458</x:v>
      </x:c>
      <x:c r="C11" s="10" t="n">
        <x:f>Historical!E9</x:f>
        <x:v>245.376</x:v>
      </x:c>
      <x:c r="D11" s="10" t="n">
        <x:f>Historical!F9</x:f>
        <x:v>213.557</x:v>
      </x:c>
      <x:c r="E11" s="10" t="n">
        <x:f>E5*E12</x:f>
        <x:v>255.90893824000003</x:v>
      </x:c>
      <x:c r="F11" s="10" t="n">
        <x:f>F5*F12</x:f>
        <x:v>284.51875781980004</x:v>
      </x:c>
      <x:c r="G11" s="10" t="n">
        <x:f>G5*G12</x:f>
        <x:v>310.66025571873206</x:v>
      </x:c>
      <x:c r="H11" s="10" t="n">
        <x:f>H5*H12</x:f>
        <x:v>334.9235019682972</x:v>
      </x:c>
      <x:c r="I11" s="10" t="n">
        <x:f>I5*I12</x:f>
        <x:v>356.6935295962365</x:v>
      </x:c>
    </x:row>
    <x:row r="12">
      <x:c r="A12" t="str">
        <x:v>Operating margin</x:v>
      </x:c>
      <x:c r="B12" s="9" t="n">
        <x:f>B11/B5</x:f>
        <x:v>0.13592345390673372</x:v>
      </x:c>
      <x:c r="C12" s="9" t="n">
        <x:f>C11/C5</x:f>
        <x:v>0.13409455191699096</x:v>
      </x:c>
      <x:c r="D12" s="9" t="n">
        <x:f>D11/D5</x:f>
        <x:v>0.11429365039438179</x:v>
      </x:c>
      <x:c r="E12" s="9" t="n">
        <x:f>Assumptions!B28</x:f>
        <x:v>0.128</x:v>
      </x:c>
      <x:c r="F12" s="9" t="n">
        <x:f>Assumptions!C28</x:f>
        <x:v>0.133</x:v>
      </x:c>
      <x:c r="G12" s="9" t="n">
        <x:f>Assumptions!D28</x:f>
        <x:v>0.137</x:v>
      </x:c>
      <x:c r="H12" s="9" t="n">
        <x:f>Assumptions!E28</x:f>
        <x:v>0.14</x:v>
      </x:c>
      <x:c r="I12" s="9" t="n">
        <x:f>Assumptions!F28</x:f>
        <x:v>0.142</x:v>
      </x:c>
    </x:row>
    <x:row r="13">
      <x:c r="A13" t="str">
        <x:v>Net interest expense / (income)</x:v>
      </x:c>
      <x:c r="B13" s="10" t="n">
        <x:f>B14-B11</x:f>
        <x:v>0.48799999999999955</x:v>
      </x:c>
      <x:c r="C13" s="10" t="n">
        <x:f>C14-C11</x:f>
        <x:v>-12.527999999999992</x:v>
      </x:c>
      <x:c r="D13" s="10" t="n">
        <x:f>D14-D11</x:f>
        <x:v>6.724000000000018</x:v>
      </x:c>
      <x:c r="E13" s="10" t="n">
        <x:f>D33*Assumptions!$B$15-D21*3.0%</x:f>
        <x:v>-1.6616600000000004</x:v>
      </x:c>
      <x:c r="F13" s="10" t="n">
        <x:f>E33*Assumptions!$B$15-E21*3.0%</x:f>
        <x:v>-5.2546117035854785</x:v>
      </x:c>
      <x:c r="G13" s="10" t="n">
        <x:f>F33*Assumptions!$B$15-F21*3.0%</x:f>
        <x:v>-10.599639902294516</x:v>
      </x:c>
      <x:c r="H13" s="10" t="n">
        <x:f>G33*Assumptions!$B$15-G21*3.0%</x:f>
        <x:v>-16.749239325698383</x:v>
      </x:c>
      <x:c r="I13" s="10" t="n">
        <x:f>H33*Assumptions!$B$15-H21*3.0%</x:f>
        <x:v>-23.68962442398552</x:v>
      </x:c>
    </x:row>
    <x:row r="14">
      <x:c r="A14" t="str">
        <x:v>Pretax income</x:v>
      </x:c>
      <x:c r="B14" s="10" t="n">
        <x:f>Historical!D10</x:f>
        <x:v>225.946</x:v>
      </x:c>
      <x:c r="C14" s="10" t="n">
        <x:f>Historical!E10</x:f>
        <x:v>232.848</x:v>
      </x:c>
      <x:c r="D14" s="10" t="n">
        <x:f>Historical!F10</x:f>
        <x:v>220.281</x:v>
      </x:c>
      <x:c r="E14" s="10" t="n">
        <x:f>E11-E13</x:f>
        <x:v>257.57059824000004</x:v>
      </x:c>
      <x:c r="F14" s="10" t="n">
        <x:f>F11-F13</x:f>
        <x:v>289.7733695233855</x:v>
      </x:c>
      <x:c r="G14" s="10" t="n">
        <x:f>G11-G13</x:f>
        <x:v>321.2598956210266</x:v>
      </x:c>
      <x:c r="H14" s="10" t="n">
        <x:f>H11-H13</x:f>
        <x:v>351.6727412939956</x:v>
      </x:c>
      <x:c r="I14" s="10" t="n">
        <x:f>I11-I13</x:f>
        <x:v>380.38315402022204</x:v>
      </x:c>
    </x:row>
    <x:row r="15">
      <x:c r="A15" t="str">
        <x:v>Income tax</x:v>
      </x:c>
      <x:c r="B15" s="10" t="n">
        <x:f>Historical!D11</x:f>
        <x:v>56.061</x:v>
      </x:c>
      <x:c r="C15" s="10" t="n">
        <x:f>Historical!E11</x:f>
        <x:v>57.159</x:v>
      </x:c>
      <x:c r="D15" s="10" t="n">
        <x:f>Historical!F11</x:f>
        <x:v>54.894</x:v>
      </x:c>
      <x:c r="E15" s="10" t="n">
        <x:f>E14*E16</x:f>
        <x:v>61.81694357760001</x:v>
      </x:c>
      <x:c r="F15" s="10" t="n">
        <x:f>F14*F16</x:f>
        <x:v>69.54560868561252</x:v>
      </x:c>
      <x:c r="G15" s="10" t="n">
        <x:f>G14*G16</x:f>
        <x:v>77.10237494904638</x:v>
      </x:c>
      <x:c r="H15" s="10" t="n">
        <x:f>H14*H16</x:f>
        <x:v>84.40145791055895</x:v>
      </x:c>
      <x:c r="I15" s="10" t="n">
        <x:f>I14*I16</x:f>
        <x:v>91.29195696485328</x:v>
      </x:c>
    </x:row>
    <x:row r="16">
      <x:c r="A16" t="str">
        <x:v>Tax rate</x:v>
      </x:c>
      <x:c r="B16" s="9" t="n">
        <x:f>B15/B14</x:f>
        <x:v>0.24811680667062042</x:v>
      </x:c>
      <x:c r="C16" s="9" t="n">
        <x:f>C15/C14</x:f>
        <x:v>0.2454777365491651</x:v>
      </x:c>
      <x:c r="D16" s="9" t="n">
        <x:f>D15/D14</x:f>
        <x:v>0.24919988560066458</x:v>
      </x:c>
      <x:c r="E16" s="9" t="n">
        <x:f>Assumptions!B29</x:f>
        <x:v>0.24</x:v>
      </x:c>
      <x:c r="F16" s="9" t="n">
        <x:f>Assumptions!C29</x:f>
        <x:v>0.24</x:v>
      </x:c>
      <x:c r="G16" s="9" t="n">
        <x:f>Assumptions!D29</x:f>
        <x:v>0.24</x:v>
      </x:c>
      <x:c r="H16" s="9" t="n">
        <x:f>Assumptions!E29</x:f>
        <x:v>0.24</x:v>
      </x:c>
      <x:c r="I16" s="9" t="n">
        <x:f>Assumptions!F29</x:f>
        <x:v>0.24</x:v>
      </x:c>
    </x:row>
    <x:row r="17">
      <x:c r="A17" t="str">
        <x:v>Net income</x:v>
      </x:c>
      <x:c r="B17" s="10" t="n">
        <x:f>Historical!D12</x:f>
        <x:v>169.885</x:v>
      </x:c>
      <x:c r="C17" s="10" t="n">
        <x:f>Historical!E12</x:f>
        <x:v>175.689</x:v>
      </x:c>
      <x:c r="D17" s="10" t="n">
        <x:f>Historical!F12</x:f>
        <x:v>165.387</x:v>
      </x:c>
      <x:c r="E17" s="10" t="n">
        <x:f>E14-E15</x:f>
        <x:v>195.75365466240004</x:v>
      </x:c>
      <x:c r="F17" s="10" t="n">
        <x:f>F14-F15</x:f>
        <x:v>220.22776083777296</x:v>
      </x:c>
      <x:c r="G17" s="10" t="n">
        <x:f>G14-G15</x:f>
        <x:v>244.15752067198022</x:v>
      </x:c>
      <x:c r="H17" s="10" t="n">
        <x:f>H14-H15</x:f>
        <x:v>267.27128338343664</x:v>
      </x:c>
      <x:c r="I17" s="10" t="n">
        <x:f>I14-I15</x:f>
        <x:v>289.09119705536875</x:v>
      </x:c>
    </x:row>
    <x:row r="18">
      <x:c r="A18" t="str">
        <x:v>Diluted shares</x:v>
      </x:c>
      <x:c r="B18" s="22" t="n">
        <x:f>Historical!D14</x:f>
        <x:v>87.403</x:v>
      </x:c>
      <x:c r="C18" s="22" t="n">
        <x:f>Historical!E14</x:f>
        <x:v>85.755</x:v>
      </x:c>
      <x:c r="D18" s="22" t="n">
        <x:f>Historical!F14</x:f>
        <x:v>81.595</x:v>
      </x:c>
      <x:c r="E18" s="22" t="n">
        <x:f>76.6</x:f>
        <x:v>76.6</x:v>
      </x:c>
      <x:c r="F18" s="22" t="n">
        <x:f>E18-F47/C34</x:f>
        <x:v>75.79533940583862</x:v>
      </x:c>
      <x:c r="G18" s="22" t="n">
        <x:f>F18-G47/D34</x:f>
        <x:v>75.31143409642956</x:v>
      </x:c>
      <x:c r="H18" s="22" t="n">
        <x:f>G18-H47/E34</x:f>
        <x:v>74.82752878702051</x:v>
      </x:c>
      <x:c r="I18" s="22" t="n">
        <x:f>H18-I47/F34</x:f>
        <x:v>74.34362347761146</x:v>
      </x:c>
    </x:row>
    <x:row r="19">
      <x:c r="A19" t="str">
        <x:v>EPS</x:v>
      </x:c>
      <x:c r="B19" s="23" t="n">
        <x:f>Historical!D13</x:f>
        <x:v>1.94</x:v>
      </x:c>
      <x:c r="C19" s="23" t="n">
        <x:f>Historical!E13</x:f>
        <x:v>2.05</x:v>
      </x:c>
      <x:c r="D19" s="23" t="n">
        <x:f>Historical!F13</x:f>
        <x:v>2.03</x:v>
      </x:c>
      <x:c r="E19" s="23" t="n">
        <x:f>E17/E18</x:f>
        <x:v>2.5555307397180163</x:v>
      </x:c>
      <x:c r="F19" s="23" t="n">
        <x:f>F17/F18</x:f>
        <x:v>2.905558080010504</x:v>
      </x:c>
      <x:c r="G19" s="23" t="n">
        <x:f>G17/G18</x:f>
        <x:v>3.2419714695561144</x:v>
      </x:c>
      <x:c r="H19" s="23" t="n">
        <x:f>H17/H18</x:f>
        <x:v>3.5718309520038187</x:v>
      </x:c>
      <x:c r="I19" s="23" t="n">
        <x:f>I17/I18</x:f>
        <x:v>3.8885809371724855</x:v>
      </x:c>
    </x:row>
    <x:row r="20">
      <x:c r="B20" s="10"/>
      <x:c r="C20" s="10"/>
      <x:c r="D20" s="10"/>
      <x:c r="E20" s="10"/>
      <x:c r="F20" s="10"/>
      <x:c r="G20" s="10"/>
      <x:c r="H20" s="10"/>
      <x:c r="I20" s="10"/>
    </x:row>
    <x:row r="21">
      <x:c r="A21" s="8" t="str">
        <x:v>Cash</x:v>
      </x:c>
      <x:c r="B21" s="21" t="n">
        <x:f>Historical!D21</x:f>
        <x:v>438.96</x:v>
      </x:c>
      <x:c r="C21" s="21" t="n">
        <x:f>Historical!E21</x:f>
        <x:v>358.795</x:v>
      </x:c>
      <x:c r="D21" s="21" t="n">
        <x:f>Historical!F21</x:f>
        <x:v>188.342</x:v>
      </x:c>
      <x:c r="E21" s="21" t="n">
        <x:f>D21+E46-E47+E48</x:f>
        <x:v>308.1070567861826</x:v>
      </x:c>
      <x:c r="F21" s="21" t="n">
        <x:f>E21+F46-F47+F48</x:f>
        <x:v>486.2746634098172</x:v>
      </x:c>
      <x:c r="G21" s="21" t="n">
        <x:f>F21+G46-G47+G48</x:f>
        <x:v>691.2613108566127</x:v>
      </x:c>
      <x:c r="H21" s="21" t="n">
        <x:f>G21+H46-H47+H48</x:f>
        <x:v>922.6074807995174</x:v>
      </x:c>
      <x:c r="I21" s="21" t="n">
        <x:f>H21+I46-I47+I48</x:f>
        <x:v>1175.2794386886694</x:v>
      </x:c>
    </x:row>
    <x:row r="22">
      <x:c r="A22" t="str">
        <x:v>Accounts receivable</x:v>
      </x:c>
      <x:c r="B22" s="10" t="n">
        <x:f>Historical!D22</x:f>
        <x:v>95.774</x:v>
      </x:c>
      <x:c r="C22" s="10" t="n">
        <x:f>Historical!E22</x:f>
        <x:v>120.19</x:v>
      </x:c>
      <x:c r="D22" s="10" t="n">
        <x:f>Historical!F22</x:f>
        <x:v>141.424</x:v>
      </x:c>
      <x:c r="E22" s="10" t="n">
        <x:f>E5*Assumptions!B35</x:f>
        <x:v>151.32368000000002</x:v>
      </x:c>
      <x:c r="F22" s="10" t="n">
        <x:f>F5*Assumptions!C35</x:f>
        <x:v>161.91633760000002</x:v>
      </x:c>
      <x:c r="G22" s="10" t="n">
        <x:f>G5*Assumptions!D35</x:f>
        <x:v>171.63131785600004</x:v>
      </x:c>
      <x:c r="H22" s="10" t="n">
        <x:f>H5*Assumptions!E35</x:f>
        <x:v>181.07104033808002</x:v>
      </x:c>
      <x:c r="I22" s="10" t="n">
        <x:f>I5*Assumptions!F35</x:f>
        <x:v>190.12459235498403</x:v>
      </x:c>
    </x:row>
    <x:row r="23">
      <x:c r="A23" t="str">
        <x:v>Inventory</x:v>
      </x:c>
      <x:c r="B23" s="10" t="n">
        <x:f>Historical!D23</x:f>
        <x:v>337.208</x:v>
      </x:c>
      <x:c r="C23" s="10" t="n">
        <x:f>Historical!E23</x:f>
        <x:v>310.058</x:v>
      </x:c>
      <x:c r="D23" s="10" t="n">
        <x:f>Historical!F23</x:f>
        <x:v>290.611</x:v>
      </x:c>
      <x:c r="E23" s="10" t="n">
        <x:f>(E5-E7)*Assumptions!B36</x:f>
        <x:v>308.0992158762071</x:v>
      </x:c>
      <x:c r="F23" s="10" t="n">
        <x:f>(F5-F7)*Assumptions!C36</x:f>
        <x:v>327.3225626866824</x:v>
      </x:c>
      <x:c r="G23" s="10" t="n">
        <x:f>(G5-G7)*Assumptions!D36</x:f>
        <x:v>344.47770224897243</x:v>
      </x:c>
      <x:c r="H23" s="10" t="n">
        <x:f>(H5-H7)*Assumptions!E36</x:f>
        <x:v>361.6767452194319</x:v>
      </x:c>
      <x:c r="I23" s="10" t="n">
        <x:f>(I5-I7)*Assumptions!F36</x:f>
        <x:v>378.84328638745563</x:v>
      </x:c>
    </x:row>
    <x:row r="24">
      <x:c r="A24" t="str">
        <x:v>Prepaids / other current assets</x:v>
      </x:c>
      <x:c r="B24" s="10" t="n">
        <x:f>Historical!D24</x:f>
        <x:v>42.463</x:v>
      </x:c>
      <x:c r="C24" s="10" t="n">
        <x:f>Historical!E24</x:f>
        <x:v>37.723</x:v>
      </x:c>
      <x:c r="D24" s="10" t="n">
        <x:f>Historical!F24</x:f>
        <x:v>39.949</x:v>
      </x:c>
      <x:c r="E24" s="10" t="n">
        <x:f>E5*2.1%</x:f>
        <x:v>41.985060180000005</x:v>
      </x:c>
      <x:c r="F24" s="10" t="n">
        <x:f>F5*2.1%</x:f>
        <x:v>44.92401439260001</x:v>
      </x:c>
      <x:c r="G24" s="10" t="n">
        <x:f>G5*2.1%</x:f>
        <x:v>47.619455256156</x:v>
      </x:c>
      <x:c r="H24" s="10" t="n">
        <x:f>H5*2.1%</x:f>
        <x:v>50.23852529524458</x:v>
      </x:c>
      <x:c r="I24" s="10" t="n">
        <x:f>I5*2.1%</x:f>
        <x:v>52.750451560006816</x:v>
      </x:c>
    </x:row>
    <x:row r="25">
      <x:c r="A25" t="str">
        <x:v>Current assets</x:v>
      </x:c>
      <x:c r="B25" s="10" t="n">
        <x:f>Historical!D25</x:f>
        <x:v>914.405</x:v>
      </x:c>
      <x:c r="C25" s="10" t="n">
        <x:f>Historical!E25</x:f>
        <x:v>826.766</x:v>
      </x:c>
      <x:c r="D25" s="10" t="n">
        <x:f>Historical!F25</x:f>
        <x:v>660.326</x:v>
      </x:c>
      <x:c r="E25" s="10" t="n">
        <x:f>SUM(E21:E24)</x:f>
        <x:v>809.5150128423898</x:v>
      </x:c>
      <x:c r="F25" s="10" t="n">
        <x:f>SUM(F21:F24)</x:f>
        <x:v>1020.4375780890997</x:v>
      </x:c>
      <x:c r="G25" s="10" t="n">
        <x:f>SUM(G21:G24)</x:f>
        <x:v>1254.989786217741</x:v>
      </x:c>
      <x:c r="H25" s="10" t="n">
        <x:f>SUM(H21:H24)</x:f>
        <x:v>1515.5937916522737</x:v>
      </x:c>
      <x:c r="I25" s="10" t="n">
        <x:f>SUM(I21:I24)</x:f>
        <x:v>1796.9977689911161</x:v>
      </x:c>
    </x:row>
    <x:row r="26">
      <x:c r="A26" t="str">
        <x:v>PP&amp;E net</x:v>
      </x:c>
      <x:c r="B26" s="10" t="n">
        <x:f>Historical!D26</x:f>
        <x:v>130.714</x:v>
      </x:c>
      <x:c r="C26" s="10" t="n">
        <x:f>Historical!E26</x:f>
        <x:v>126.27</x:v>
      </x:c>
      <x:c r="D26" s="10" t="n">
        <x:f>Historical!F26</x:f>
        <x:v>142.105</x:v>
      </x:c>
      <x:c r="E26" s="10" t="n">
        <x:f>D26+E45-E41*70%</x:f>
        <x:v>166.519441826</x:v>
      </x:c>
      <x:c r="F26" s="10" t="n">
        <x:f>E26+F45-F41*70%</x:f>
        <x:v>182.99158043661998</x:v>
      </x:c>
      <x:c r="G26" s="10" t="n">
        <x:f>F26+G45-G41*70%</x:f>
        <x:v>199.7717694316464</x:v>
      </x:c>
      <x:c r="H26" s="10" t="n">
        <x:f>G26+H45-H41*70%</x:f>
        <x:v>215.08255809305422</x:v>
      </x:c>
      <x:c r="I26" s="10" t="n">
        <x:f>H26+I45-I41*70%</x:f>
        <x:v>232.03806038019923</x:v>
      </x:c>
    </x:row>
    <x:row r="27">
      <x:c r="A27" t="str">
        <x:v>Goodwill + intangibles</x:v>
      </x:c>
      <x:c r="B27" s="10" t="n">
        <x:f>Historical!D27+Historical!D28</x:f>
        <x:v>171.922</x:v>
      </x:c>
      <x:c r="C27" s="10" t="n">
        <x:f>Historical!E27+Historical!E28</x:f>
        <x:v>244.57999999999998</x:v>
      </x:c>
      <x:c r="D27" s="10" t="n">
        <x:f>Historical!F27+Historical!F28</x:f>
        <x:v>292.099</x:v>
      </x:c>
      <x:c r="E27" s="10" t="n">
        <x:f>D27</x:f>
        <x:v>292.099</x:v>
      </x:c>
      <x:c r="F27" s="10" t="n">
        <x:f>E27</x:f>
        <x:v>292.099</x:v>
      </x:c>
      <x:c r="G27" s="10" t="n">
        <x:f>F27</x:f>
        <x:v>292.099</x:v>
      </x:c>
      <x:c r="H27" s="10" t="n">
        <x:f>G27</x:f>
        <x:v>292.099</x:v>
      </x:c>
      <x:c r="I27" s="10" t="n">
        <x:f>H27</x:f>
        <x:v>292.099</x:v>
      </x:c>
    </x:row>
    <x:row r="28">
      <x:c r="A28" t="str">
        <x:v>Operating lease assets</x:v>
      </x:c>
      <x:c r="B28" s="10" t="n">
        <x:f>Historical!D29</x:f>
        <x:v>77.556</x:v>
      </x:c>
      <x:c r="C28" s="10" t="n">
        <x:f>Historical!E29</x:f>
        <x:v>78.279</x:v>
      </x:c>
      <x:c r="D28" s="10" t="n">
        <x:f>Historical!F29</x:f>
        <x:v>131.531</x:v>
      </x:c>
      <x:c r="E28" s="10" t="n">
        <x:f>D28</x:f>
        <x:v>131.531</x:v>
      </x:c>
      <x:c r="F28" s="10" t="n">
        <x:f>E28</x:f>
        <x:v>131.531</x:v>
      </x:c>
      <x:c r="G28" s="10" t="n">
        <x:f>F28</x:f>
        <x:v>131.531</x:v>
      </x:c>
      <x:c r="H28" s="10" t="n">
        <x:f>G28</x:f>
        <x:v>131.531</x:v>
      </x:c>
      <x:c r="I28" s="10" t="n">
        <x:f>H28</x:f>
        <x:v>131.531</x:v>
      </x:c>
    </x:row>
    <x:row r="29">
      <x:c r="A29" t="str">
        <x:v>Other assets</x:v>
      </x:c>
      <x:c r="B29" s="10" t="n">
        <x:f>B30-B25-B26-B27-B28</x:f>
        <x:v>2.5950000000000415</x:v>
      </x:c>
      <x:c r="C29" s="10" t="n">
        <x:f>C30-C25-C26-C27-C28</x:f>
        <x:v>10.224999999999966</x:v>
      </x:c>
      <x:c r="D29" s="10" t="n">
        <x:f>D30-D25-D26-D27-D28</x:f>
        <x:v>9.356999999999857</x:v>
      </x:c>
      <x:c r="E29" s="10" t="n">
        <x:f>D29</x:f>
        <x:v>9.356999999999857</x:v>
      </x:c>
      <x:c r="F29" s="10" t="n">
        <x:f>E29</x:f>
        <x:v>9.356999999999857</x:v>
      </x:c>
      <x:c r="G29" s="10" t="n">
        <x:f>F29</x:f>
        <x:v>9.356999999999857</x:v>
      </x:c>
      <x:c r="H29" s="10" t="n">
        <x:f>G29</x:f>
        <x:v>9.356999999999857</x:v>
      </x:c>
      <x:c r="I29" s="10" t="n">
        <x:f>H29</x:f>
        <x:v>9.356999999999857</x:v>
      </x:c>
    </x:row>
    <x:row r="30">
      <x:c r="A30" t="str">
        <x:v>Total assets</x:v>
      </x:c>
      <x:c r="B30" s="10" t="n">
        <x:f>Historical!D30</x:f>
        <x:v>1297.192</x:v>
      </x:c>
      <x:c r="C30" s="10" t="n">
        <x:f>Historical!E30</x:f>
        <x:v>1286.12</x:v>
      </x:c>
      <x:c r="D30" s="10" t="n">
        <x:f>Historical!F30</x:f>
        <x:v>1235.418</x:v>
      </x:c>
      <x:c r="E30" s="10" t="n">
        <x:f>SUM(E25:E29)</x:f>
        <x:v>1409.0214546683897</x:v>
      </x:c>
      <x:c r="F30" s="10" t="n">
        <x:f>SUM(F25:F29)</x:f>
        <x:v>1636.4161585257193</x:v>
      </x:c>
      <x:c r="G30" s="10" t="n">
        <x:f>SUM(G25:G29)</x:f>
        <x:v>1887.748555649387</x:v>
      </x:c>
      <x:c r="H30" s="10" t="n">
        <x:f>SUM(H25:H29)</x:f>
        <x:v>2163.663349745328</x:v>
      </x:c>
      <x:c r="I30" s="10" t="n">
        <x:f>SUM(I25:I29)</x:f>
        <x:v>2462.0228293713153</x:v>
      </x:c>
    </x:row>
    <x:row r="31">
      <x:c r="A31" t="str">
        <x:v>Accounts payable</x:v>
      </x:c>
      <x:c r="B31" s="10" t="n">
        <x:f>Historical!D31</x:f>
        <x:v>190.392</x:v>
      </x:c>
      <x:c r="C31" s="10" t="n">
        <x:f>Historical!E31</x:f>
        <x:v>158.499</x:v>
      </x:c>
      <x:c r="D31" s="10" t="n">
        <x:f>Historical!F31</x:f>
        <x:v>140.214</x:v>
      </x:c>
      <x:c r="E31" s="10" t="n">
        <x:f>(E5-E7)*Assumptions!B37</x:f>
        <x:v>148.65171467998977</x:v>
      </x:c>
      <x:c r="F31" s="10" t="n">
        <x:f>(F5-F7)*Assumptions!C37</x:f>
        <x:v>157.9265953613266</x:v>
      </x:c>
      <x:c r="G31" s="10" t="n">
        <x:f>(G5-G7)*Assumptions!D37</x:f>
        <x:v>166.20360737596798</x:v>
      </x:c>
      <x:c r="H31" s="10" t="n">
        <x:f>(H5-H7)*Assumptions!E37</x:f>
        <x:v>174.50180190769595</x:v>
      </x:c>
      <x:c r="I31" s="10" t="n">
        <x:f>(I5-I7)*Assumptions!F37</x:f>
        <x:v>182.78431496925688</x:v>
      </x:c>
    </x:row>
    <x:row r="32">
      <x:c r="A32" t="str">
        <x:v>Accrued/current liabilities ex AP/debt</x:v>
      </x:c>
      <x:c r="B32" s="10" t="n">
        <x:f>Historical!D32-Historical!D31-Historical!D33</x:f>
        <x:v>203.74200000000002</x:v>
      </x:c>
      <x:c r="C32" s="10" t="n">
        <x:f>Historical!E32-Historical!E31-Historical!E33</x:f>
        <x:v>216.78600000000003</x:v>
      </x:c>
      <x:c r="D32" s="10" t="n">
        <x:f>Historical!F32-Historical!F31-Historical!F33</x:f>
        <x:v>189.906</x:v>
      </x:c>
      <x:c r="E32" s="10" t="n">
        <x:f>E5*10.0%</x:f>
        <x:v>199.92885800000002</x:v>
      </x:c>
      <x:c r="F32" s="10" t="n">
        <x:f>F5*10.0%</x:f>
        <x:v>213.92387806000002</x:v>
      </x:c>
      <x:c r="G32" s="10" t="n">
        <x:f>G5*10.0%</x:f>
        <x:v>226.75931074360003</x:v>
      </x:c>
      <x:c r="H32" s="10" t="n">
        <x:f>H5*10.0%</x:f>
        <x:v>239.231072834498</x:v>
      </x:c>
      <x:c r="I32" s="10" t="n">
        <x:f>I5*10.0%</x:f>
        <x:v>251.19262647622293</x:v>
      </x:c>
    </x:row>
    <x:row r="33">
      <x:c r="A33" t="str">
        <x:v>Funded debt</x:v>
      </x:c>
      <x:c r="B33" s="10" t="n">
        <x:f>Historical!D38</x:f>
        <x:v>82.864</x:v>
      </x:c>
      <x:c r="C33" s="10" t="n">
        <x:f>Historical!E38</x:f>
        <x:v>77.04</x:v>
      </x:c>
      <x:c r="D33" s="10" t="n">
        <x:f>Historical!F38</x:f>
        <x:v>72.52</x:v>
      </x:c>
      <x:c r="E33" s="10" t="n">
        <x:f>D33</x:f>
        <x:v>72.52</x:v>
      </x:c>
      <x:c r="F33" s="10" t="n">
        <x:f>E33</x:f>
        <x:v>72.52</x:v>
      </x:c>
      <x:c r="G33" s="10" t="n">
        <x:f>F33</x:f>
        <x:v>72.52</x:v>
      </x:c>
      <x:c r="H33" s="10" t="n">
        <x:f>G33</x:f>
        <x:v>72.52</x:v>
      </x:c>
      <x:c r="I33" s="10" t="n">
        <x:f>H33</x:f>
        <x:v>72.52</x:v>
      </x:c>
    </x:row>
    <x:row r="34">
      <x:c r="A34" t="str">
        <x:v>Operating lease liabilities</x:v>
      </x:c>
      <x:c r="B34" s="10" t="n">
        <x:f>Historical!D35</x:f>
        <x:v>90.889</x:v>
      </x:c>
      <x:c r="C34" s="10" t="n">
        <x:f>Historical!E35</x:f>
        <x:v>93.207</x:v>
      </x:c>
      <x:c r="D34" s="10" t="n">
        <x:f>Historical!F35</x:f>
        <x:v>154.989</x:v>
      </x:c>
      <x:c r="E34" s="10" t="n">
        <x:f>D34</x:f>
        <x:v>154.989</x:v>
      </x:c>
      <x:c r="F34" s="10" t="n">
        <x:f>E34</x:f>
        <x:v>154.989</x:v>
      </x:c>
      <x:c r="G34" s="10" t="n">
        <x:f>F34</x:f>
        <x:v>154.989</x:v>
      </x:c>
      <x:c r="H34" s="10" t="n">
        <x:f>G34</x:f>
        <x:v>154.989</x:v>
      </x:c>
      <x:c r="I34" s="10" t="n">
        <x:f>H34</x:f>
        <x:v>154.989</x:v>
      </x:c>
    </x:row>
    <x:row r="35">
      <x:c r="A35" t="str">
        <x:v>Other liabilities / balance residual</x:v>
      </x:c>
      <x:c r="B35" s="10" t="n">
        <x:f>B36-SUM(B31:B34)</x:f>
        <x:v>5.694999999999936</x:v>
      </x:c>
      <x:c r="C35" s="10" t="n">
        <x:f>C36-SUM(C31:C34)</x:f>
        <x:v>0.48099999999999454</x:v>
      </x:c>
      <x:c r="D35" s="10" t="n">
        <x:f>D36-SUM(D31:D34)</x:f>
        <x:v>27.513000000000034</x:v>
      </x:c>
      <x:c r="E35" s="10" t="n">
        <x:f>E30-E37-SUM(E31:E34)</x:f>
        <x:v>36.920012825999834</x:v>
      </x:c>
      <x:c r="F35" s="10" t="n">
        <x:f>F30-F37-SUM(F31:F34)</x:f>
        <x:v>44.47532436981987</x:v>
      </x:c>
      <x:c r="G35" s="10" t="n">
        <x:f>G30-G37-SUM(G31:G34)</x:f>
        <x:v>53.383114652237964</x:v>
      </x:c>
      <x:c r="H35" s="10" t="n">
        <x:f>H30-H37-SUM(H31:H34)</x:f>
        <x:v>63.625832718526794</x:v>
      </x:c>
      <x:c r="I35" s="10" t="n">
        <x:f>I30-I37-SUM(I31:I34)</x:f>
        <x:v>74.89959702585236</x:v>
      </x:c>
    </x:row>
    <x:row r="36">
      <x:c r="A36" t="str">
        <x:v>Total liabilities</x:v>
      </x:c>
      <x:c r="B36" s="10" t="n">
        <x:f>Historical!D36</x:f>
        <x:v>573.582</x:v>
      </x:c>
      <x:c r="C36" s="10" t="n">
        <x:f>Historical!E36</x:f>
        <x:v>546.013</x:v>
      </x:c>
      <x:c r="D36" s="10" t="n">
        <x:f>Historical!F36</x:f>
        <x:v>585.142</x:v>
      </x:c>
      <x:c r="E36" s="10" t="n">
        <x:f>SUM(E31:E35)</x:f>
        <x:v>613.0095855059897</x:v>
      </x:c>
      <x:c r="F36" s="10" t="n">
        <x:f>SUM(F31:F35)</x:f>
        <x:v>643.8347977911465</x:v>
      </x:c>
      <x:c r="G36" s="10" t="n">
        <x:f>SUM(G31:G35)</x:f>
        <x:v>673.855032771806</x:v>
      </x:c>
      <x:c r="H36" s="10" t="n">
        <x:f>SUM(H31:H35)</x:f>
        <x:v>704.8677074607208</x:v>
      </x:c>
      <x:c r="I36" s="10" t="n">
        <x:f>SUM(I31:I35)</x:f>
        <x:v>736.3855384713322</x:v>
      </x:c>
    </x:row>
    <x:row r="37">
      <x:c r="A37" t="str">
        <x:v>Stockholders' equity</x:v>
      </x:c>
      <x:c r="B37" s="10" t="n">
        <x:f>Historical!D37</x:f>
        <x:v>723.61</x:v>
      </x:c>
      <x:c r="C37" s="10" t="n">
        <x:f>Historical!E37</x:f>
        <x:v>740.107</x:v>
      </x:c>
      <x:c r="D37" s="10" t="n">
        <x:f>Historical!F37</x:f>
        <x:v>650.276</x:v>
      </x:c>
      <x:c r="E37" s="10" t="n">
        <x:f>D37+E17+E42-E47</x:f>
        <x:v>796.0118691624</x:v>
      </x:c>
      <x:c r="F37" s="10" t="n">
        <x:f>E37+F17+F42-F47</x:f>
        <x:v>992.5813607345729</x:v>
      </x:c>
      <x:c r="G37" s="10" t="n">
        <x:f>F37+G17+G42-G47</x:f>
        <x:v>1213.893522877581</x:v>
      </x:c>
      <x:c r="H37" s="10" t="n">
        <x:f>G37+H17+H42-H47</x:f>
        <x:v>1458.7956422846073</x:v>
      </x:c>
      <x:c r="I37" s="10" t="n">
        <x:f>H37+I17+I42-I47</x:f>
        <x:v>1725.637290899983</x:v>
      </x:c>
    </x:row>
    <x:row r="38">
      <x:c r="A38" t="str">
        <x:v>BS check</x:v>
      </x:c>
      <x:c r="B38" s="10" t="n">
        <x:f>B30-B36-B37</x:f>
        <x:v>0</x:v>
      </x:c>
      <x:c r="C38" s="10" t="n">
        <x:f>C30-C36-C37</x:f>
        <x:v>-1.1368683772161603e-13</x:v>
      </x:c>
      <x:c r="D38" s="10" t="n">
        <x:f>D30-D36-D37</x:f>
        <x:v>-1.1368683772161603e-13</x:v>
      </x:c>
      <x:c r="E38" s="10" t="n">
        <x:f>E30-E36-E37</x:f>
        <x:v>0</x:v>
      </x:c>
      <x:c r="F38" s="10" t="n">
        <x:f>F30-F36-F37</x:f>
        <x:v>0</x:v>
      </x:c>
      <x:c r="G38" s="10" t="n">
        <x:f>G30-G36-G37</x:f>
        <x:v>0</x:v>
      </x:c>
      <x:c r="H38" s="10" t="n">
        <x:f>H30-H36-H37</x:f>
        <x:v>0</x:v>
      </x:c>
      <x:c r="I38" s="10" t="n">
        <x:f>I30-I36-I37</x:f>
        <x:v>0</x:v>
      </x:c>
    </x:row>
    <x:row r="39">
      <x:c r="B39" s="10"/>
      <x:c r="C39" s="10"/>
      <x:c r="D39" s="10"/>
      <x:c r="E39" s="10"/>
      <x:c r="F39" s="10"/>
      <x:c r="G39" s="10"/>
      <x:c r="H39" s="10"/>
      <x:c r="I39" s="10"/>
    </x:row>
    <x:row r="40">
      <x:c r="A40" s="8" t="str">
        <x:v>Net income (cash flow)</x:v>
      </x:c>
      <x:c r="B40" s="21" t="n">
        <x:f>B17</x:f>
        <x:v>169.885</x:v>
      </x:c>
      <x:c r="C40" s="21" t="n">
        <x:f>C17</x:f>
        <x:v>175.689</x:v>
      </x:c>
      <x:c r="D40" s="21" t="n">
        <x:f>D17</x:f>
        <x:v>165.387</x:v>
      </x:c>
      <x:c r="E40" s="21" t="n">
        <x:f>E17</x:f>
        <x:v>195.75365466240004</x:v>
      </x:c>
      <x:c r="F40" s="21" t="n">
        <x:f>F17</x:f>
        <x:v>220.22776083777296</x:v>
      </x:c>
      <x:c r="G40" s="21" t="n">
        <x:f>G17</x:f>
        <x:v>244.15752067198022</x:v>
      </x:c>
      <x:c r="H40" s="21" t="n">
        <x:f>H17</x:f>
        <x:v>267.27128338343664</x:v>
      </x:c>
      <x:c r="I40" s="21" t="n">
        <x:f>I17</x:f>
        <x:v>289.09119705536875</x:v>
      </x:c>
    </x:row>
    <x:row r="41">
      <x:c r="A41" t="str">
        <x:v>D&amp;A</x:v>
      </x:c>
      <x:c r="B41" s="10" t="n">
        <x:f>Historical!D17</x:f>
        <x:v>46.434</x:v>
      </x:c>
      <x:c r="C41" s="10" t="n">
        <x:f>Historical!E17</x:f>
        <x:v>48.132</x:v>
      </x:c>
      <x:c r="D41" s="10" t="n">
        <x:f>Historical!F17</x:f>
        <x:v>54.232</x:v>
      </x:c>
      <x:c r="E41" s="10" t="n">
        <x:f>E5*Assumptions!B30</x:f>
        <x:v>57.979368820000005</x:v>
      </x:c>
      <x:c r="F41" s="10" t="n">
        <x:f>F5*Assumptions!C30</x:f>
        <x:v>62.03792463740001</x:v>
      </x:c>
      <x:c r="G41" s="10" t="n">
        <x:f>G5*Assumptions!D30</x:f>
        <x:v>63.492607008208005</x:v>
      </x:c>
      <x:c r="H41" s="10" t="n">
        <x:f>H5*Assumptions!E30</x:f>
        <x:v>66.98470039365944</x:v>
      </x:c>
      <x:c r="I41" s="10" t="n">
        <x:f>I5*Assumptions!F30</x:f>
        <x:v>69.0779722809613</x:v>
      </x:c>
    </x:row>
    <x:row r="42">
      <x:c r="A42" t="str">
        <x:v>Stock compensation</x:v>
      </x:c>
      <x:c r="B42" s="10" t="n">
        <x:f>Historical!D18</x:f>
        <x:v>29.8</x:v>
      </x:c>
      <x:c r="C42" s="10" t="n">
        <x:f>Historical!E18</x:f>
        <x:v>40.719</x:v>
      </x:c>
      <x:c r="D42" s="10" t="n">
        <x:f>Historical!F18</x:f>
        <x:v>47.688</x:v>
      </x:c>
      <x:c r="E42" s="10" t="n">
        <x:f>E5*Assumptions!B32</x:f>
        <x:v>49.982214500000005</x:v>
      </x:c>
      <x:c r="F42" s="10" t="n">
        <x:f>F5*Assumptions!C32</x:f>
        <x:v>51.3417307344</x:v>
      </x:c>
      <x:c r="G42" s="10" t="n">
        <x:f>G5*Assumptions!D32</x:f>
        <x:v>52.154641471028</x:v>
      </x:c>
      <x:c r="H42" s="10" t="n">
        <x:f>H5*Assumptions!E32</x:f>
        <x:v>52.63083602358955</x:v>
      </x:c>
      <x:c r="I42" s="10" t="n">
        <x:f>I5*Assumptions!F32</x:f>
        <x:v>52.750451560006816</x:v>
      </x:c>
    </x:row>
    <x:row r="43">
      <x:c r="A43" t="str">
        <x:v>Change in NWC</x:v>
      </x:c>
      <x:c r="B43" s="10" t="n">
        <x:f>0</x:f>
        <x:v>0</x:v>
      </x:c>
      <x:c r="C43" s="10" t="n">
        <x:f>(C22+C23-C31)-(B22+B23-B31)</x:f>
        <x:v>29.158999999999992</x:v>
      </x:c>
      <x:c r="D43" s="10" t="n">
        <x:f>(D22+D23-D31)-(C22+C23-C31)</x:f>
        <x:v>20.071999999999946</x:v>
      </x:c>
      <x:c r="E43" s="10" t="n">
        <x:f>(E22+E23-E31)-(D22+D23-D31)</x:f>
        <x:v>18.950181196217386</x:v>
      </x:c>
      <x:c r="F43" s="10" t="n">
        <x:f>(F22+F23-F31)-(E22+E23-E31)</x:f>
        <x:v>20.541123729138405</x:v>
      </x:c>
      <x:c r="G43" s="10" t="n">
        <x:f>(G22+G23-G31)-(F22+F23-F31)</x:f>
        <x:v>18.593107803648763</x:v>
      </x:c>
      <x:c r="H43" s="10" t="n">
        <x:f>(H22+H23-H31)-(G22+G23-G31)</x:f>
        <x:v>18.340570920811388</x:v>
      </x:c>
      <x:c r="I43" s="10" t="n">
        <x:f>(I22+I23-I31)-(H22+H23-H31)</x:f>
        <x:v>17.937580123366843</x:v>
      </x:c>
    </x:row>
    <x:row r="44">
      <x:c r="A44" t="str">
        <x:v>Operating cash flow</x:v>
      </x:c>
      <x:c r="B44" s="10" t="n">
        <x:f>Historical!D15</x:f>
        <x:v>285.942</x:v>
      </x:c>
      <x:c r="C44" s="10" t="n">
        <x:f>Historical!E15</x:f>
        <x:v>261.386</x:v>
      </x:c>
      <x:c r="D44" s="10" t="n">
        <x:f>Historical!F15</x:f>
        <x:v>254.737</x:v>
      </x:c>
      <x:c r="E44" s="10" t="n">
        <x:f>E17+E41+E42-E43</x:f>
        <x:v>284.76505678618264</x:v>
      </x:c>
      <x:c r="F44" s="10" t="n">
        <x:f>F17+F41+F42-F43</x:f>
        <x:v>313.0662924804346</x:v>
      </x:c>
      <x:c r="G44" s="10" t="n">
        <x:f>G17+G41+G42-G43</x:f>
        <x:v>341.2116613475675</x:v>
      </x:c>
      <x:c r="H44" s="10" t="n">
        <x:f>H17+H41+H42-H43</x:f>
        <x:v>368.5462488798742</x:v>
      </x:c>
      <x:c r="I44" s="10" t="n">
        <x:f>I17+I41+I42-I43</x:f>
        <x:v>392.98204077297004</x:v>
      </x:c>
    </x:row>
    <x:row r="45">
      <x:c r="A45" t="str">
        <x:v>Capital expenditures</x:v>
      </x:c>
      <x:c r="B45" s="10" t="n">
        <x:f>Historical!D16</x:f>
        <x:v>50.672</x:v>
      </x:c>
      <x:c r="C45" s="10" t="n">
        <x:f>Historical!E16</x:f>
        <x:v>41.832</x:v>
      </x:c>
      <x:c r="D45" s="10" t="n">
        <x:f>Historical!F16</x:f>
        <x:v>42.667</x:v>
      </x:c>
      <x:c r="E45" s="10" t="n">
        <x:f>E5*Assumptions!B31</x:f>
        <x:v>65</x:v>
      </x:c>
      <x:c r="F45" s="10" t="n">
        <x:f>F5*Assumptions!C31</x:f>
        <x:v>59.89868585680001</x:v>
      </x:c>
      <x:c r="G45" s="10" t="n">
        <x:f>G5*Assumptions!D31</x:f>
        <x:v>61.225013900772</x:v>
      </x:c>
      <x:c r="H45" s="10" t="n">
        <x:f>H5*Assumptions!E31</x:f>
        <x:v>62.200078936969476</x:v>
      </x:c>
      <x:c r="I45" s="10" t="n">
        <x:f>I5*Assumptions!F31</x:f>
        <x:v>65.31008288381796</x:v>
      </x:c>
    </x:row>
    <x:row r="46">
      <x:c r="A46" t="str">
        <x:v>Free cash flow</x:v>
      </x:c>
      <x:c r="B46" s="10" t="n">
        <x:f>Historical!D20</x:f>
        <x:v>235.27</x:v>
      </x:c>
      <x:c r="C46" s="10" t="n">
        <x:f>Historical!E20</x:f>
        <x:v>219.554</x:v>
      </x:c>
      <x:c r="D46" s="10" t="n">
        <x:f>Historical!F20</x:f>
        <x:v>212.07</x:v>
      </x:c>
      <x:c r="E46" s="10" t="n">
        <x:f>E44-E45</x:f>
        <x:v>219.76505678618264</x:v>
      </x:c>
      <x:c r="F46" s="10" t="n">
        <x:f>F44-F45</x:f>
        <x:v>253.16760662363458</x:v>
      </x:c>
      <x:c r="G46" s="10" t="n">
        <x:f>G44-G45</x:f>
        <x:v>279.9866474467955</x:v>
      </x:c>
      <x:c r="H46" s="10" t="n">
        <x:f>H44-H45</x:f>
        <x:v>306.34616994290474</x:v>
      </x:c>
      <x:c r="I46" s="10" t="n">
        <x:f>I44-I45</x:f>
        <x:v>327.67195788915205</x:v>
      </x:c>
    </x:row>
    <x:row r="47">
      <x:c r="A47" t="str">
        <x:v>Share repurchases</x:v>
      </x:c>
      <x:c r="B47" s="10" t="n">
        <x:f>Historical!D19</x:f>
        <x:v>0</x:v>
      </x:c>
      <x:c r="C47" s="10" t="n">
        <x:f>Historical!E19</x:f>
        <x:v>200</x:v>
      </x:c>
      <x:c r="D47" s="10" t="n">
        <x:f>Historical!F19</x:f>
        <x:v>297.78</x:v>
      </x:c>
      <x:c r="E47" s="10" t="n">
        <x:f>Assumptions!B33</x:f>
        <x:v>100</x:v>
      </x:c>
      <x:c r="F47" s="10" t="n">
        <x:f>Assumptions!C33</x:f>
        <x:v>75</x:v>
      </x:c>
      <x:c r="G47" s="10" t="n">
        <x:f>Assumptions!D33</x:f>
        <x:v>75</x:v>
      </x:c>
      <x:c r="H47" s="10" t="n">
        <x:f>Assumptions!E33</x:f>
        <x:v>75</x:v>
      </x:c>
      <x:c r="I47" s="10" t="n">
        <x:f>Assumptions!F33</x:f>
        <x:v>75</x:v>
      </x:c>
    </x:row>
    <x:row r="48">
      <x:c r="A48" t="str">
        <x:v>Change in funded debt</x:v>
      </x:c>
      <x:c r="B48" s="10" t="n">
        <x:f>0</x:f>
        <x:v>0</x:v>
      </x:c>
      <x:c r="C48" s="10" t="n">
        <x:f>C33-B33</x:f>
        <x:v>-5.823999999999998</x:v>
      </x:c>
      <x:c r="D48" s="10" t="n">
        <x:f>D33-C33</x:f>
        <x:v>-4.52000000000001</x:v>
      </x:c>
      <x:c r="E48" s="10" t="n">
        <x:f>E33-D33</x:f>
        <x:v>0</x:v>
      </x:c>
      <x:c r="F48" s="10" t="n">
        <x:f>F33-E33</x:f>
        <x:v>0</x:v>
      </x:c>
      <x:c r="G48" s="10" t="n">
        <x:f>G33-F33</x:f>
        <x:v>0</x:v>
      </x:c>
      <x:c r="H48" s="10" t="n">
        <x:f>H33-G33</x:f>
        <x:v>0</x:v>
      </x:c>
      <x:c r="I48" s="10" t="n">
        <x:f>I33-H33</x:f>
        <x:v>0</x:v>
      </x:c>
    </x:row>
    <x:row r="49">
      <x:c r="A49" t="str">
        <x:v>Ending cash</x:v>
      </x:c>
      <x:c r="B49" s="10" t="n">
        <x:f>B21</x:f>
        <x:v>438.96</x:v>
      </x:c>
      <x:c r="C49" s="10" t="n">
        <x:f>C21</x:f>
        <x:v>358.795</x:v>
      </x:c>
      <x:c r="D49" s="10" t="n">
        <x:f>D21</x:f>
        <x:v>188.342</x:v>
      </x:c>
      <x:c r="E49" s="10" t="n">
        <x:f>E21</x:f>
        <x:v>308.1070567861826</x:v>
      </x:c>
      <x:c r="F49" s="10" t="n">
        <x:f>F21</x:f>
        <x:v>486.2746634098172</x:v>
      </x:c>
      <x:c r="G49" s="10" t="n">
        <x:f>G21</x:f>
        <x:v>691.2613108566127</x:v>
      </x:c>
      <x:c r="H49" s="10" t="n">
        <x:f>H21</x:f>
        <x:v>922.6074807995174</x:v>
      </x:c>
      <x:c r="I49" s="10" t="n">
        <x:f>I21</x:f>
        <x:v>1175.2794386886694</x:v>
      </x:c>
    </x:row>
    <x:row r="50">
      <x:c r="A50" t="str">
        <x:v>CFS cash check</x:v>
      </x:c>
      <x:c r="B50" s="10" t="n">
        <x:f>0</x:f>
        <x:v>0</x:v>
      </x:c>
      <x:c r="C50" s="10" t="n">
        <x:f>C49-B49-(C46-C47+C48)</x:f>
        <x:v>-93.89499999999997</x:v>
      </x:c>
      <x:c r="D50" s="10" t="n">
        <x:f>D49-C49-(D46-D47+D48)</x:f>
        <x:v>-80.22300000000001</x:v>
      </x:c>
      <x:c r="E50" s="10" t="n">
        <x:f>E49-D49-(E46-E47+E48)</x:f>
        <x:v>-2.842170943040401e-14</x:v>
      </x:c>
      <x:c r="F50" s="10" t="n">
        <x:f>F49-E49-(F46-F47+F48)</x:f>
        <x:v>0</x:v>
      </x:c>
      <x:c r="G50" s="10" t="n">
        <x:f>G49-F49-(G46-G47+G48)</x:f>
        <x:v>0</x:v>
      </x:c>
      <x:c r="H50" s="10" t="n">
        <x:f>H49-G49-(H46-H47+H48)</x:f>
        <x:v>-5.684341886080802e-14</x:v>
      </x:c>
      <x:c r="I50" s="10" t="n">
        <x:f>I49-H49-(I46-I47+I48)</x:f>
        <x:v>0</x:v>
      </x:c>
    </x:row>
    <x:row r="51">
      <x:c r="B51" s="10"/>
      <x:c r="C51" s="10"/>
      <x:c r="D51" s="10"/>
      <x:c r="E51" s="10"/>
      <x:c r="F51" s="10"/>
      <x:c r="G51" s="10"/>
      <x:c r="H51" s="10"/>
      <x:c r="I51" s="10"/>
    </x:row>
    <x:row r="52">
      <x:c r="A52" t="str">
        <x:v>Unlevered FCF</x:v>
      </x:c>
      <x:c r="B52" s="10" t="n">
        <x:f>B11*(1-B16)+B41-B45-B43</x:f>
        <x:v>165.28008100165525</x:v>
      </x:c>
      <x:c r="C52" s="10" t="n">
        <x:f>C11*(1-C16)+C41-C45-C43</x:f>
        <x:v>162.2826549165121</x:v>
      </x:c>
      <x:c r="D52" s="10" t="n">
        <x:f>D11*(1-D16)+D41-D45-D43</x:f>
        <x:v>151.83162003077894</x:v>
      </x:c>
      <x:c r="E52" s="10" t="n">
        <x:f>E11*(1-E16)+E41-E45-E43</x:f>
        <x:v>168.51998068618263</x:v>
      </x:c>
      <x:c r="F52" s="10" t="n">
        <x:f>F11*(1-F16)+F41-F45-F43</x:f>
        <x:v>197.83237099450963</x:v>
      </x:c>
      <x:c r="G52" s="10" t="n">
        <x:f>G11*(1-G16)+G41-G45-G43</x:f>
        <x:v>219.77627965002358</x:v>
      </x:c>
      <x:c r="H52" s="10" t="n">
        <x:f>H11*(1-H16)+H41-H45-H43</x:f>
        <x:v>240.98591203178444</x:v>
      </x:c>
      <x:c r="I52" s="10" t="n">
        <x:f>I11*(1-I16)+I41-I45-I43</x:f>
        <x:v>256.91739176691624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3.62000274658203" hidden="0" customWidth="1"/>
    <x:col min="2" max="2" width="10.5" hidden="0" customWidth="1"/>
    <x:col min="3" max="3" width="6.860000133514404" hidden="0" customWidth="1"/>
    <x:col min="4" max="4" width="12.649999618530273" hidden="0" customWidth="1"/>
    <x:col min="5" max="5" width="6.860000133514404" hidden="0" customWidth="1"/>
    <x:col min="6" max="6" width="6.860000133514404" hidden="0" customWidth="1"/>
  </x:cols>
  <x:sheetData>
    <x:row r="1">
      <x:c r="A1" s="2" t="str">
        <x:v>Valuation</x:v>
      </x:c>
    </x:row>
    <x:row r="2">
      <x:c r="A2" s="3" t="str">
        <x:v>Base-case DCF plus trading-multiple triangulation; amounts in $mm except per-share values.</x:v>
      </x:c>
    </x:row>
    <x:row r="4">
      <x:c r="A4" s="6" t="str">
        <x:v>DCF</x:v>
      </x:c>
      <x:c r="B4" s="6" t="str">
        <x:v>FY2026E</x:v>
      </x:c>
      <x:c r="C4" s="6" t="str">
        <x:v>FY2027E</x:v>
      </x:c>
      <x:c r="D4" s="6" t="str">
        <x:v>FY2028E</x:v>
      </x:c>
      <x:c r="E4" s="6" t="str">
        <x:v>FY2029E</x:v>
      </x:c>
      <x:c r="F4" s="6" t="str">
        <x:v>FY2030E</x:v>
      </x:c>
    </x:row>
    <x:row r="5">
      <x:c r="A5" t="str">
        <x:v>Unlevered FCF</x:v>
      </x:c>
      <x:c r="B5" s="10" t="n">
        <x:f>Model!E52</x:f>
        <x:v>168.51998068618263</x:v>
      </x:c>
      <x:c r="C5" s="10" t="n">
        <x:f>Model!F52</x:f>
        <x:v>197.83237099450963</x:v>
      </x:c>
      <x:c r="D5" s="10" t="n">
        <x:f>Model!G52</x:f>
        <x:v>219.77627965002358</x:v>
      </x:c>
      <x:c r="E5" s="10" t="n">
        <x:f>Model!H52</x:f>
        <x:v>240.98591203178444</x:v>
      </x:c>
      <x:c r="F5" s="10" t="n">
        <x:f>Model!I52</x:f>
        <x:v>256.91739176691624</x:v>
      </x:c>
    </x:row>
    <x:row r="6">
      <x:c r="A6" t="str">
        <x:v>Discount factor</x:v>
      </x:c>
      <x:c r="B6" s="25" t="n">
        <x:f>1/(1+Assumptions!$B$18)^1</x:f>
        <x:v>0.9025218577574237</x:v>
      </x:c>
      <x:c r="C6" s="25" t="n">
        <x:f>1/(1+Assumptions!$B$18)^2</x:f>
        <x:v>0.8145457037299112</x:v>
      </x:c>
      <x:c r="D6" s="25" t="n">
        <x:f>1/(1+Assumptions!$B$18)^3</x:f>
        <x:v>0.7351453017586475</x:v>
      </x:c>
      <x:c r="E6" s="25" t="n">
        <x:f>1/(1+Assumptions!$B$18)^4</x:f>
        <x:v>0.6634847034648563</x:v>
      </x:c>
      <x:c r="F6" s="25" t="n">
        <x:f>1/(1+Assumptions!$B$18)^5</x:f>
        <x:v>0.5988094471647354</x:v>
      </x:c>
    </x:row>
    <x:row r="7">
      <x:c r="A7" t="str">
        <x:v>PV FCF</x:v>
      </x:c>
      <x:c r="B7" s="10" t="n">
        <x:f>B5*B6</x:f>
        <x:v>152.0929660381387</x:v>
      </x:c>
      <x:c r="C7" s="10" t="n">
        <x:f>C5*C6</x:f>
        <x:v>161.14350785227973</x:v>
      </x:c>
      <x:c r="D7" s="10" t="n">
        <x:f>D5*D6</x:f>
        <x:v>161.5674994227095</x:v>
      </x:c>
      <x:c r="E7" s="10" t="n">
        <x:f>E5*E6</x:f>
        <x:v>159.89046638361646</x:v>
      </x:c>
      <x:c r="F7" s="10" t="n">
        <x:f>F5*F6</x:f>
        <x:v>153.84456133095284</x:v>
      </x:c>
    </x:row>
    <x:row r="8">
      <x:c r="A8" t="str">
        <x:v>Terminal growth</x:v>
      </x:c>
      <x:c r="B8" s="9" t="n">
        <x:f>Assumptions!$B$19</x:f>
        <x:v>0.0275</x:v>
      </x:c>
      <x:c r="C8" s="10"/>
      <x:c r="D8" s="10"/>
      <x:c r="E8" s="10"/>
      <x:c r="F8" s="10"/>
    </x:row>
    <x:row r="9">
      <x:c r="A9" t="str">
        <x:v>Terminal value</x:v>
      </x:c>
      <x:c r="B9" s="10" t="n">
        <x:f>F5*(1+B8)/(Assumptions!$B$18-B8)</x:f>
        <x:v>3279.0262660556705</x:v>
      </x:c>
      <x:c r="C9" s="10"/>
      <x:c r="D9" s="10"/>
      <x:c r="E9" s="10"/>
      <x:c r="F9" s="10"/>
    </x:row>
    <x:row r="10">
      <x:c r="A10" t="str">
        <x:v>PV terminal value</x:v>
      </x:c>
      <x:c r="B10" s="10" t="n">
        <x:f>B9*F6</x:f>
        <x:v>1963.5119056154426</x:v>
      </x:c>
      <x:c r="C10" s="10"/>
      <x:c r="D10" s="10"/>
      <x:c r="E10" s="10"/>
      <x:c r="F10" s="10"/>
    </x:row>
    <x:row r="11">
      <x:c r="A11" t="str">
        <x:v>Enterprise value</x:v>
      </x:c>
      <x:c r="B11" s="10" t="n">
        <x:f>SUM(B7:F7)+B10</x:f>
        <x:v>2752.05090664314</x:v>
      </x:c>
      <x:c r="C11" s="10"/>
      <x:c r="D11" s="10"/>
      <x:c r="E11" s="10"/>
      <x:c r="F11" s="10"/>
    </x:row>
    <x:row r="12">
      <x:c r="A12" t="str">
        <x:v>Equity value / share</x:v>
      </x:c>
      <x:c r="B12" t="n">
        <x:f>(B11+Assumptions!$B$8-Assumptions!$B$9)/Assumptions!$B$6</x:f>
        <x:v>37.88789693384208</x:v>
      </x:c>
    </x:row>
    <x:row r="15">
      <x:c r="A15" s="6" t="str">
        <x:v>Multiple triangulation</x:v>
      </x:c>
      <x:c r="B15" s="6" t="str">
        <x:v>Value</x:v>
      </x:c>
      <x:c r="C15" s="6" t="str">
        <x:v>Weight</x:v>
      </x:c>
      <x:c r="D15" s="6" t="str">
        <x:v>Weighted value</x:v>
      </x:c>
    </x:row>
    <x:row r="16">
      <x:c r="A16" s="27" t="str">
        <x:v>DCF value / share</x:v>
      </x:c>
      <x:c r="B16" s="23" t="n">
        <x:f>B12</x:f>
        <x:v>37.88789693384208</x:v>
      </x:c>
      <x:c r="C16" s="9" t="n">
        <x:v>0.5</x:v>
      </x:c>
      <x:c r="D16" s="23" t="n">
        <x:f>B16*C16</x:f>
        <x:v>18.94394846692104</x:v>
      </x:c>
    </x:row>
    <x:row r="17">
      <x:c r="A17" s="27" t="str">
        <x:v>EV/EBITDA value / share</x:v>
      </x:c>
      <x:c r="B17" s="23" t="n">
        <x:f>((Model!E11+Model!E41)*Assumptions!$B$20+Assumptions!$B$8-Assumptions!$B$9)/Assumptions!$B$6</x:f>
        <x:v>49.21863227548228</x:v>
      </x:c>
      <x:c r="C17" s="9" t="n">
        <x:v>0.25</x:v>
      </x:c>
      <x:c r="D17" s="23" t="n">
        <x:f>B17*C17</x:f>
        <x:v>12.30465806887057</x:v>
      </x:c>
    </x:row>
    <x:row r="18">
      <x:c r="A18" s="27" t="str">
        <x:v>P/E value / share</x:v>
      </x:c>
      <x:c r="B18" s="23" t="n">
        <x:f>Model!E19*Assumptions!$B$21</x:f>
        <x:v>40.88849183548826</x:v>
      </x:c>
      <x:c r="C18" s="9" t="n">
        <x:v>0.25</x:v>
      </x:c>
      <x:c r="D18" s="23" t="n">
        <x:f>B18*C18</x:f>
        <x:v>10.222122958872065</x:v>
      </x:c>
    </x:row>
    <x:row r="19">
      <x:c r="A19" s="27" t="str">
        <x:v>Blended 12-month price target</x:v>
      </x:c>
      <x:c r="B19" s="23" t="n">
        <x:f>ROUND(SUM(D16:D18),0)</x:f>
        <x:v>41</x:v>
      </x:c>
    </x:row>
    <x:row r="20">
      <x:c r="A20" s="27" t="str">
        <x:v>Upside / downside vs current</x:v>
      </x:c>
      <x:c r="B20" s="9" t="n">
        <x:f>B19/Assumptions!$B$5-1</x:f>
        <x:v>0.03483089348813739</x:v>
      </x:c>
    </x:row>
    <x:row r="23">
      <x:c r="A23" s="8" t="str">
        <x:v>Sell-side / market reference</x:v>
      </x:c>
      <x:c r="B23" s="8" t="str"/>
    </x:row>
    <x:row r="24">
      <x:c r="A24" t="str">
        <x:v>Consensus target average</x:v>
      </x:c>
      <x:c r="B24" s="23" t="n">
        <x:v>47.75</x:v>
      </x:c>
    </x:row>
    <x:row r="25">
      <x:c r="A25" t="str">
        <x:v>Consensus target median</x:v>
      </x:c>
      <x:c r="B25" s="23" t="n">
        <x:v>53</x:v>
      </x:c>
    </x:row>
    <x:row r="26">
      <x:c r="A26" t="str">
        <x:v>Consensus 2026 revenue</x:v>
      </x:c>
      <x:c r="B26" s="24" t="n">
        <x:v>2038</x:v>
      </x:c>
    </x:row>
    <x:row r="27">
      <x:c r="A27" t="str">
        <x:v>Consensus 2026 EPS</x:v>
      </x:c>
      <x:c r="B27" s="23" t="n">
        <x:v>2.8742376000000003</x:v>
      </x:c>
    </x:row>
    <x:row r="28">
      <x:c r="A28" t="str">
        <x:v>Recommendation</x:v>
      </x:c>
      <x:c r="B28" t="str">
        <x:v>HOLD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06999969482422" hidden="0" customWidth="1"/>
    <x:col min="2" max="2" width="8.880000114440918" hidden="0" customWidth="1"/>
    <x:col min="3" max="3" width="10.229999542236328" hidden="0" customWidth="1"/>
    <x:col min="4" max="4" width="10.229999542236328" hidden="0" customWidth="1"/>
    <x:col min="5" max="5" width="10.229999542236328" hidden="0" customWidth="1"/>
    <x:col min="6" max="6" width="10.229999542236328" hidden="0" customWidth="1"/>
    <x:col min="7" max="7" width="10.229999542236328" hidden="0" customWidth="1"/>
    <x:col min="8" max="8" width="13.319999694824219" hidden="0" customWidth="1"/>
    <x:col min="9" max="9" width="13.319999694824219" hidden="0" customWidth="1"/>
    <x:col min="10" max="10" width="13.319999694824219" hidden="0" customWidth="1"/>
    <x:col min="12" max="12" width="6.860000133514404" hidden="0" customWidth="1"/>
    <x:col min="13" max="13" width="6.860000133514404" hidden="0" customWidth="1"/>
    <x:col min="14" max="14" width="6.860000133514404" hidden="0" customWidth="1"/>
    <x:col min="15" max="15" width="6.860000133514404" hidden="0" customWidth="1"/>
    <x:col min="16" max="16" width="6.860000133514404" hidden="0" customWidth="1"/>
    <x:col min="17" max="17" width="7.269999980926514" hidden="0" customWidth="1"/>
    <x:col min="18" max="18" width="7.269999980926514" hidden="0" customWidth="1"/>
    <x:col min="19" max="19" width="7.269999980926514" hidden="0" customWidth="1"/>
    <x:col min="20" max="20" width="7.269999980926514" hidden="0" customWidth="1"/>
    <x:col min="21" max="21" width="7.269999980926514" hidden="0" customWidth="1"/>
    <x:col min="22" max="22" width="5.380000114440918" hidden="0" customWidth="1"/>
    <x:col min="23" max="23" width="5.380000114440918" hidden="0" customWidth="1"/>
    <x:col min="24" max="24" width="5.380000114440918" hidden="0" customWidth="1"/>
    <x:col min="25" max="25" width="5.380000114440918" hidden="0" customWidth="1"/>
    <x:col min="26" max="26" width="5.380000114440918" hidden="0" customWidth="1"/>
    <x:col min="27" max="27" width="5.380000114440918" hidden="0" customWidth="1"/>
    <x:col min="28" max="28" width="5.380000114440918" hidden="0" customWidth="1"/>
    <x:col min="29" max="29" width="5.380000114440918" hidden="0" customWidth="1"/>
    <x:col min="30" max="30" width="5.380000114440918" hidden="0" customWidth="1"/>
    <x:col min="31" max="31" width="5.380000114440918" hidden="0" customWidth="1"/>
    <x:col min="32" max="32" width="6.860000133514404" hidden="0" customWidth="1"/>
    <x:col min="33" max="33" width="6.860000133514404" hidden="0" customWidth="1"/>
    <x:col min="34" max="34" width="9.960000038146973" hidden="0" customWidth="1"/>
    <x:col min="35" max="35" width="7.539999961853027" hidden="0" customWidth="1"/>
  </x:cols>
  <x:sheetData>
    <x:row r="1">
      <x:c r="A1" s="2" t="str">
        <x:v>Bear / Base / Bull Scenarios</x:v>
      </x:c>
    </x:row>
    <x:row r="2">
      <x:c r="A2" s="3" t="str">
        <x:v>Standalone DCF scenario table for the memo probability-weighted case.</x:v>
      </x:c>
    </x:row>
    <x:row r="4">
      <x:c r="A4" s="6" t="str">
        <x:v>Scenario</x:v>
      </x:c>
      <x:c r="B4" s="6" t="str">
        <x:v>Probability</x:v>
      </x:c>
      <x:c r="C4" s="6" t="str">
        <x:v>FY26 growth</x:v>
      </x:c>
      <x:c r="D4" s="6" t="str">
        <x:v>FY27 growth</x:v>
      </x:c>
      <x:c r="E4" s="6" t="str">
        <x:v>FY28 growth</x:v>
      </x:c>
      <x:c r="F4" s="6" t="str">
        <x:v>FY29 growth</x:v>
      </x:c>
      <x:c r="G4" s="6" t="str">
        <x:v>FY30 growth</x:v>
      </x:c>
      <x:c r="H4" s="6" t="str">
        <x:v>FCF margin FY26</x:v>
      </x:c>
      <x:c r="I4" s="6" t="str">
        <x:v>FCF margin FY30</x:v>
      </x:c>
      <x:c r="J4" s="6" t="str">
        <x:v>Terminal growth</x:v>
      </x:c>
      <x:c r="L4" s="6" t="str">
        <x:v>Rev 26</x:v>
      </x:c>
      <x:c r="M4" s="6" t="str">
        <x:v>Rev 27</x:v>
      </x:c>
      <x:c r="N4" s="6" t="str">
        <x:v>Rev 28</x:v>
      </x:c>
      <x:c r="O4" s="6" t="str">
        <x:v>Rev 29</x:v>
      </x:c>
      <x:c r="P4" s="6" t="str">
        <x:v>Rev 30</x:v>
      </x:c>
      <x:c r="Q4" s="6" t="str">
        <x:v>FCF m 26</x:v>
      </x:c>
      <x:c r="R4" s="6" t="str">
        <x:v>FCF m 27</x:v>
      </x:c>
      <x:c r="S4" s="6" t="str">
        <x:v>FCF m 28</x:v>
      </x:c>
      <x:c r="T4" s="6" t="str">
        <x:v>FCF m 29</x:v>
      </x:c>
      <x:c r="U4" s="6" t="str">
        <x:v>FCF m 30</x:v>
      </x:c>
      <x:c r="V4" s="6" t="str">
        <x:v>FCF 26</x:v>
      </x:c>
      <x:c r="W4" s="6" t="str">
        <x:v>FCF 27</x:v>
      </x:c>
      <x:c r="X4" s="6" t="str">
        <x:v>FCF 28</x:v>
      </x:c>
      <x:c r="Y4" s="6" t="str">
        <x:v>FCF 29</x:v>
      </x:c>
      <x:c r="Z4" s="6" t="str">
        <x:v>FCF 30</x:v>
      </x:c>
      <x:c r="AA4" s="6" t="str">
        <x:v>PV 26</x:v>
      </x:c>
      <x:c r="AB4" s="6" t="str">
        <x:v>PV 27</x:v>
      </x:c>
      <x:c r="AC4" s="6" t="str">
        <x:v>PV 28</x:v>
      </x:c>
      <x:c r="AD4" s="6" t="str">
        <x:v>PV 29</x:v>
      </x:c>
      <x:c r="AE4" s="6" t="str">
        <x:v>PV 30</x:v>
      </x:c>
      <x:c r="AF4" s="6" t="str">
        <x:v>PV TV</x:v>
      </x:c>
      <x:c r="AG4" s="6" t="str">
        <x:v>EV</x:v>
      </x:c>
      <x:c r="AH4" s="6" t="str">
        <x:v>Equity value</x:v>
      </x:c>
      <x:c r="AI4" s="6" t="str">
        <x:v>Per share</x:v>
      </x:c>
    </x:row>
    <x:row r="5">
      <x:c r="A5" t="str">
        <x:v>Bear</x:v>
      </x:c>
      <x:c r="B5" s="17" t="n">
        <x:v>0.25</x:v>
      </x:c>
      <x:c r="C5" s="17" t="n">
        <x:v>0.04</x:v>
      </x:c>
      <x:c r="D5" s="17" t="n">
        <x:v>0.035</x:v>
      </x:c>
      <x:c r="E5" s="17" t="n">
        <x:v>0.035</x:v>
      </x:c>
      <x:c r="F5" s="17" t="n">
        <x:v>0.03</x:v>
      </x:c>
      <x:c r="G5" s="17" t="n">
        <x:v>0.03</x:v>
      </x:c>
      <x:c r="H5" s="17" t="n">
        <x:v>0.095</x:v>
      </x:c>
      <x:c r="I5" s="17" t="n">
        <x:v>0.105</x:v>
      </x:c>
      <x:c r="J5" s="17" t="n">
        <x:v>0.02</x:v>
      </x:c>
      <x:c r="L5" s="10" t="n">
        <x:f>Model!D5*(1+C5)</x:f>
        <x:v>1943.23376</x:v>
      </x:c>
      <x:c r="M5" s="10" t="n">
        <x:f>L5*(1+D5)</x:f>
        <x:v>2011.2469416</x:v>
      </x:c>
      <x:c r="N5" s="10" t="n">
        <x:f>M5*(1+E5)</x:f>
        <x:v>2081.640584556</x:v>
      </x:c>
      <x:c r="O5" s="10" t="n">
        <x:f>N5*(1+F5)</x:f>
        <x:v>2144.0898020926797</x:v>
      </x:c>
      <x:c r="P5" s="10" t="n">
        <x:f>O5*(1+G5)</x:f>
        <x:v>2208.4124961554603</x:v>
      </x:c>
      <x:c r="Q5" s="9" t="n">
        <x:f>H5</x:f>
        <x:v>0.095</x:v>
      </x:c>
      <x:c r="R5" s="9" t="n">
        <x:f>H5+($I5-$H5)*0.25</x:f>
        <x:v>0.0975</x:v>
      </x:c>
      <x:c r="S5" s="9" t="n">
        <x:f>H5+($I5-$H5)*0.50</x:f>
        <x:v>0.1</x:v>
      </x:c>
      <x:c r="T5" s="9" t="n">
        <x:f>H5+($I5-$H5)*0.75</x:f>
        <x:v>0.1025</x:v>
      </x:c>
      <x:c r="U5" s="9" t="n">
        <x:f>I5</x:f>
        <x:v>0.105</x:v>
      </x:c>
      <x:c r="V5" s="10" t="n">
        <x:f>L5*Q5</x:f>
        <x:v>184.6072072</x:v>
      </x:c>
      <x:c r="W5" s="10" t="n">
        <x:f>M5*R5</x:f>
        <x:v>196.096576806</x:v>
      </x:c>
      <x:c r="X5" s="10" t="n">
        <x:f>N5*S5</x:f>
        <x:v>208.16405845559999</x:v>
      </x:c>
      <x:c r="Y5" s="10" t="n">
        <x:f>O5*T5</x:f>
        <x:v>219.76920471449966</x:v>
      </x:c>
      <x:c r="Z5" s="10" t="n">
        <x:f>P5*U5</x:f>
        <x:v>231.88331209632332</x:v>
      </x:c>
      <x:c r="AA5" s="10" t="n">
        <x:f>V5/(1+Assumptions!$B$18)^1</x:f>
        <x:v>166.61203959755363</x:v>
      </x:c>
      <x:c r="AB5" s="10" t="n">
        <x:f>W5/(1+Assumptions!$B$18)^2</x:f>
        <x:v>159.72962415346984</x:v>
      </x:c>
      <x:c r="AC5" s="10" t="n">
        <x:f>X5/(1+Assumptions!$B$18)^3</x:f>
        <x:v>153.0308295686468</x:v>
      </x:c>
      <x:c r="AD5" s="10" t="n">
        <x:f>Y5/(1+Assumptions!$B$18)^4</x:f>
        <x:v>145.8135056207071</x:v>
      </x:c>
      <x:c r="AE5" s="10" t="n">
        <x:f>Z5/(1+Assumptions!$B$18)^5</x:f>
        <x:v>138.85391792312717</x:v>
      </x:c>
      <x:c r="AF5" s="10" t="n">
        <x:f>Z5*(1+J5)/(Assumptions!$B$18-J5)/(1+Assumptions!$B$18)^5</x:f>
        <x:v>1609.3259869386277</x:v>
      </x:c>
      <x:c r="AG5" s="10" t="n">
        <x:f>SUM(AA5:AE5)+AF5</x:f>
        <x:v>2373.3659038021324</x:v>
      </x:c>
      <x:c r="AH5" s="10" t="n">
        <x:f>AG5+Assumptions!$B$8-Assumptions!$B$9</x:f>
        <x:v>2489.1879038021325</x:v>
      </x:c>
      <x:c r="AI5" s="23" t="n">
        <x:f>AH5/Assumptions!$B$6</x:f>
        <x:v>32.88503285126818</x:v>
      </x:c>
    </x:row>
    <x:row r="6">
      <x:c r="A6" t="str">
        <x:v>Base</x:v>
      </x:c>
      <x:c r="B6" s="17" t="n">
        <x:v>0.5</x:v>
      </x:c>
      <x:c r="C6" s="17" t="n">
        <x:v>0.07</x:v>
      </x:c>
      <x:c r="D6" s="17" t="n">
        <x:v>0.07</x:v>
      </x:c>
      <x:c r="E6" s="17" t="n">
        <x:v>0.06</x:v>
      </x:c>
      <x:c r="F6" s="17" t="n">
        <x:v>0.055</x:v>
      </x:c>
      <x:c r="G6" s="17" t="n">
        <x:v>0.05</x:v>
      </x:c>
      <x:c r="H6" s="17" t="n">
        <x:v>0.112</x:v>
      </x:c>
      <x:c r="I6" s="17" t="n">
        <x:v>0.12</x:v>
      </x:c>
      <x:c r="J6" s="17" t="n">
        <x:v>0.0275</x:v>
      </x:c>
      <x:c r="L6" s="10" t="n">
        <x:f>Model!D5*(1+C6)</x:f>
        <x:v>1999.2885800000001</x:v>
      </x:c>
      <x:c r="M6" s="10" t="n">
        <x:f>L6*(1+D6)</x:f>
        <x:v>2139.2387806</x:v>
      </x:c>
      <x:c r="N6" s="10" t="n">
        <x:f>M6*(1+E6)</x:f>
        <x:v>2267.593107436</x:v>
      </x:c>
      <x:c r="O6" s="10" t="n">
        <x:f>N6*(1+F6)</x:f>
        <x:v>2392.31072834498</x:v>
      </x:c>
      <x:c r="P6" s="10" t="n">
        <x:f>O6*(1+G6)</x:f>
        <x:v>2511.926264762229</x:v>
      </x:c>
      <x:c r="Q6" s="9" t="n">
        <x:f>H6</x:f>
        <x:v>0.112</x:v>
      </x:c>
      <x:c r="R6" s="9" t="n">
        <x:f>H6+($I6-$H6)*0.25</x:f>
        <x:v>0.114</x:v>
      </x:c>
      <x:c r="S6" s="9" t="n">
        <x:f>H6+($I6-$H6)*0.50</x:f>
        <x:v>0.11599999999999999</x:v>
      </x:c>
      <x:c r="T6" s="9" t="n">
        <x:f>H6+($I6-$H6)*0.75</x:f>
        <x:v>0.118</x:v>
      </x:c>
      <x:c r="U6" s="9" t="n">
        <x:f>I6</x:f>
        <x:v>0.12</x:v>
      </x:c>
      <x:c r="V6" s="10" t="n">
        <x:f>L6*Q6</x:f>
        <x:v>223.92032096000003</x:v>
      </x:c>
      <x:c r="W6" s="10" t="n">
        <x:f>M6*R6</x:f>
        <x:v>243.87322098840002</x:v>
      </x:c>
      <x:c r="X6" s="10" t="n">
        <x:f>N6*S6</x:f>
        <x:v>263.040800462576</x:v>
      </x:c>
      <x:c r="Y6" s="10" t="n">
        <x:f>O6*T6</x:f>
        <x:v>282.2926659447076</x:v>
      </x:c>
      <x:c r="Z6" s="10" t="n">
        <x:f>P6*U6</x:f>
        <x:v>301.43115177146746</x:v>
      </x:c>
      <x:c r="AA6" s="10" t="n">
        <x:f>V6/(1+Assumptions!$B$18)^1</x:f>
        <x:v>202.0929840624578</x:v>
      </x:c>
      <x:c r="AB6" s="10" t="n">
        <x:f>W6/(1+Assumptions!$B$18)^2</x:f>
        <x:v>198.64588441087645</x:v>
      </x:c>
      <x:c r="AC6" s="10" t="n">
        <x:f>X6/(1+Assumptions!$B$18)^3</x:f>
        <x:v>193.3732086308966</x:v>
      </x:c>
      <x:c r="AD6" s="10" t="n">
        <x:f>Y6/(1+Assumptions!$B$18)^4</x:f>
        <x:v>187.29686575462807</x:v>
      </x:c>
      <x:c r="AE6" s="10" t="n">
        <x:f>Z6/(1+Assumptions!$B$18)^5</x:f>
        <x:v>180.49982135050186</x:v>
      </x:c>
      <x:c r="AF6" s="10" t="n">
        <x:f>Z6*(1+J6)/(Assumptions!$B$18-J6)/(1+Assumptions!$B$18)^5</x:f>
        <x:v>2303.7119097161376</x:v>
      </x:c>
      <x:c r="AG6" s="10" t="n">
        <x:f>SUM(AA6:AE6)+AF6</x:f>
        <x:v>3265.6206739254985</x:v>
      </x:c>
      <x:c r="AH6" s="10" t="n">
        <x:f>AG6+Assumptions!$B$8-Assumptions!$B$9</x:f>
        <x:v>3381.4426739254986</x:v>
      </x:c>
      <x:c r="AI6" s="23" t="n">
        <x:f>AH6/Assumptions!$B$6</x:f>
        <x:v>44.67274376790456</x:v>
      </x:c>
    </x:row>
    <x:row r="7">
      <x:c r="A7" t="str">
        <x:v>Bull</x:v>
      </x:c>
      <x:c r="B7" s="17" t="n">
        <x:v>0.25</x:v>
      </x:c>
      <x:c r="C7" s="17" t="n">
        <x:v>0.08</x:v>
      </x:c>
      <x:c r="D7" s="17" t="n">
        <x:v>0.09</x:v>
      </x:c>
      <x:c r="E7" s="17" t="n">
        <x:v>0.08</x:v>
      </x:c>
      <x:c r="F7" s="17" t="n">
        <x:v>0.07</x:v>
      </x:c>
      <x:c r="G7" s="17" t="n">
        <x:v>0.06</x:v>
      </x:c>
      <x:c r="H7" s="17" t="n">
        <x:v>0.12</x:v>
      </x:c>
      <x:c r="I7" s="17" t="n">
        <x:v>0.135</x:v>
      </x:c>
      <x:c r="J7" s="17" t="n">
        <x:v>0.03</x:v>
      </x:c>
      <x:c r="L7" s="10" t="n">
        <x:f>Model!D5*(1+C7)</x:f>
        <x:v>2017.97352</x:v>
      </x:c>
      <x:c r="M7" s="10" t="n">
        <x:f>L7*(1+D7)</x:f>
        <x:v>2199.5911368</x:v>
      </x:c>
      <x:c r="N7" s="10" t="n">
        <x:f>M7*(1+E7)</x:f>
        <x:v>2375.5584277440003</x:v>
      </x:c>
      <x:c r="O7" s="10" t="n">
        <x:f>N7*(1+F7)</x:f>
        <x:v>2541.84751768608</x:v>
      </x:c>
      <x:c r="P7" s="10" t="n">
        <x:f>O7*(1+G7)</x:f>
        <x:v>2694.358368747245</x:v>
      </x:c>
      <x:c r="Q7" s="9" t="n">
        <x:f>H7</x:f>
        <x:v>0.12</x:v>
      </x:c>
      <x:c r="R7" s="9" t="n">
        <x:f>H7+($I7-$H7)*0.25</x:f>
        <x:v>0.12375</x:v>
      </x:c>
      <x:c r="S7" s="9" t="n">
        <x:f>H7+($I7-$H7)*0.50</x:f>
        <x:v>0.1275</x:v>
      </x:c>
      <x:c r="T7" s="9" t="n">
        <x:f>H7+($I7-$H7)*0.75</x:f>
        <x:v>0.13125</x:v>
      </x:c>
      <x:c r="U7" s="9" t="n">
        <x:f>I7</x:f>
        <x:v>0.135</x:v>
      </x:c>
      <x:c r="V7" s="10" t="n">
        <x:f>L7*Q7</x:f>
        <x:v>242.15682239999998</x:v>
      </x:c>
      <x:c r="W7" s="10" t="n">
        <x:f>M7*R7</x:f>
        <x:v>272.199403179</x:v>
      </x:c>
      <x:c r="X7" s="10" t="n">
        <x:f>N7*S7</x:f>
        <x:v>302.88369953736003</x:v>
      </x:c>
      <x:c r="Y7" s="10" t="n">
        <x:f>O7*T7</x:f>
        <x:v>333.61748669629804</x:v>
      </x:c>
      <x:c r="Z7" s="10" t="n">
        <x:f>P7*U7</x:f>
        <x:v>363.7383797808781</x:v>
      </x:c>
      <x:c r="AA7" s="10" t="n">
        <x:f>V7/(1+Assumptions!$B$18)^1</x:f>
        <x:v>218.55182522108248</x:v>
      </x:c>
      <x:c r="AB7" s="10" t="n">
        <x:f>W7/(1+Assumptions!$B$18)^2</x:f>
        <x:v>221.71885441730038</x:v>
      </x:c>
      <x:c r="AC7" s="10" t="n">
        <x:f>X7/(1+Assumptions!$B$18)^3</x:f>
        <x:v>222.66352869416806</x:v>
      </x:c>
      <x:c r="AD7" s="10" t="n">
        <x:f>Y7/(1+Assumptions!$B$18)^4</x:f>
        <x:v>221.35009923138395</x:v>
      </x:c>
      <x:c r="AE7" s="10" t="n">
        <x:f>Z7/(1+Assumptions!$B$18)^5</x:f>
        <x:v>217.8099781091842</x:v>
      </x:c>
      <x:c r="AF7" s="10" t="n">
        <x:f>Z7*(1+J7)/(Assumptions!$B$18-J7)/(1+Assumptions!$B$18)^5</x:f>
        <x:v>2875.9724847971393</x:v>
      </x:c>
      <x:c r="AG7" s="10" t="n">
        <x:f>SUM(AA7:AE7)+AF7</x:f>
        <x:v>3978.0667704702582</x:v>
      </x:c>
      <x:c r="AH7" s="10" t="n">
        <x:f>AG7+Assumptions!$B$8-Assumptions!$B$9</x:f>
        <x:v>4093.888770470258</x:v>
      </x:c>
      <x:c r="AI7" s="23" t="n">
        <x:f>AH7/Assumptions!$B$6</x:f>
        <x:v>54.08497546557818</x:v>
      </x:c>
    </x:row>
    <x:row r="10">
      <x:c r="A10" t="str">
        <x:v>Probability-weighted DCF value</x:v>
      </x:c>
      <x:c r="B10" s="23" t="n">
        <x:f>SUMPRODUCT(B5:B7,AI5:AI7)</x:f>
        <x:v>44.07887396316387</x:v>
      </x:c>
    </x:row>
    <x:row r="11">
      <x:c r="A11" t="str">
        <x:v>Current price</x:v>
      </x:c>
      <x:c r="B11" s="23" t="n">
        <x:v>39.62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11000061035156" hidden="0" customWidth="1"/>
    <x:col min="2" max="2" width="14.270000457763672" hidden="0" customWidth="1"/>
    <x:col min="3" max="3" width="9.960000038146973" hidden="0" customWidth="1"/>
    <x:col min="4" max="4" width="7.130000114440918" hidden="0" customWidth="1"/>
    <x:col min="5" max="5" width="34.59000015258789" hidden="0" customWidth="1"/>
  </x:cols>
  <x:sheetData>
    <x:row r="1">
      <x:c r="A1" s="2" t="str">
        <x:v>Peer Valuation</x:v>
      </x:c>
    </x:row>
    <x:row r="2">
      <x:c r="A2" s="3" t="str">
        <x:v>Market and peer metrics from fetched StockAnalysis pages.</x:v>
      </x:c>
    </x:row>
    <x:row r="4">
      <x:c r="A4" s="6" t="str">
        <x:v>Ticker</x:v>
      </x:c>
      <x:c r="B4" s="6" t="str">
        <x:v>Metric</x:v>
      </x:c>
      <x:c r="C4" s="6" t="str">
        <x:v>Value</x:v>
      </x:c>
      <x:c r="D4" s="6" t="str">
        <x:v>Display</x:v>
      </x:c>
      <x:c r="E4" s="6" t="str">
        <x:v>Source file</x:v>
      </x:c>
    </x:row>
    <x:row r="5">
      <x:c r="A5" t="str">
        <x:v>YETI</x:v>
      </x:c>
      <x:c r="B5" t="str">
        <x:v>market_cap</x:v>
      </x:c>
      <x:c r="C5" t="n">
        <x:v>2998982096</x:v>
      </x:c>
      <x:c r="D5" t="str">
        <x:v>3.00B</x:v>
      </x:c>
      <x:c r="E5" t="str">
        <x:v>raw/other/stockanalysis-yeti-statistics.html</x:v>
      </x:c>
    </x:row>
    <x:row r="6">
      <x:c r="A6" t="str">
        <x:v>YETI</x:v>
      </x:c>
      <x:c r="B6" t="str">
        <x:v>enterprise_value</x:v>
      </x:c>
      <x:c r="C6" t="n">
        <x:v>3064837934</x:v>
      </x:c>
      <x:c r="D6" t="str">
        <x:v>3.06B</x:v>
      </x:c>
      <x:c r="E6" t="str">
        <x:v>raw/other/stockanalysis-yeti-statistics.html</x:v>
      </x:c>
    </x:row>
    <x:row r="7">
      <x:c r="A7" t="str">
        <x:v>YETI</x:v>
      </x:c>
      <x:c r="B7" t="str">
        <x:v>ev_ebitda</x:v>
      </x:c>
      <x:c r="C7" t="n">
        <x:v>11.57</x:v>
      </x:c>
      <x:c r="D7" t="str">
        <x:v>11.57</x:v>
      </x:c>
      <x:c r="E7" t="str">
        <x:v>raw/other/stockanalysis-yeti-statistics.html</x:v>
      </x:c>
    </x:row>
    <x:row r="8">
      <x:c r="A8" t="str">
        <x:v>YETI</x:v>
      </x:c>
      <x:c r="B8" t="str">
        <x:v>forward_pe</x:v>
      </x:c>
      <x:c r="C8" t="n">
        <x:v>14.127</x:v>
      </x:c>
      <x:c r="D8" t="str">
        <x:v>14.13</x:v>
      </x:c>
      <x:c r="E8" t="str">
        <x:v>raw/other/stockanalysis-yeti-statistics.html</x:v>
      </x:c>
    </x:row>
    <x:row r="9">
      <x:c r="A9" t="str">
        <x:v>YETI</x:v>
      </x:c>
      <x:c r="B9" t="str">
        <x:v>price_to_fcf</x:v>
      </x:c>
      <x:c r="C9" t="n">
        <x:v>14.263</x:v>
      </x:c>
      <x:c r="D9" t="str">
        <x:v>14.26</x:v>
      </x:c>
      <x:c r="E9" t="str">
        <x:v>raw/other/stockanalysis-yeti-statistics.html</x:v>
      </x:c>
    </x:row>
    <x:row r="10">
      <x:c r="A10" t="str">
        <x:v>YETI</x:v>
      </x:c>
      <x:c r="B10" t="str">
        <x:v>gross_margin</x:v>
      </x:c>
      <x:c r="C10" t="n">
        <x:v>57.41</x:v>
      </x:c>
      <x:c r="D10" t="str">
        <x:v>57.41%</x:v>
      </x:c>
      <x:c r="E10" t="str">
        <x:v>raw/other/stockanalysis-yeti-statistics.html</x:v>
      </x:c>
    </x:row>
    <x:row r="11">
      <x:c r="A11" t="str">
        <x:v>YETI</x:v>
      </x:c>
      <x:c r="B11" t="str">
        <x:v>operating_margin</x:v>
      </x:c>
      <x:c r="C11" t="n">
        <x:v>11.43</x:v>
      </x:c>
      <x:c r="D11" t="str">
        <x:v>11.43%</x:v>
      </x:c>
      <x:c r="E11" t="str">
        <x:v>raw/other/stockanalysis-yeti-statistics.html</x:v>
      </x:c>
    </x:row>
    <x:row r="12">
      <x:c r="A12" t="str">
        <x:v>YETI</x:v>
      </x:c>
      <x:c r="B12" t="str">
        <x:v>fcf_margin</x:v>
      </x:c>
      <x:c r="C12" t="n">
        <x:v>11.35</x:v>
      </x:c>
      <x:c r="D12" t="str">
        <x:v>11.35%</x:v>
      </x:c>
      <x:c r="E12" t="str">
        <x:v>raw/other/stockanalysis-yeti-statistics.html</x:v>
      </x:c>
    </x:row>
    <x:row r="13">
      <x:c r="A13" t="str">
        <x:v>GOLF</x:v>
      </x:c>
      <x:c r="B13" t="str">
        <x:v>market_cap</x:v>
      </x:c>
      <x:c r="C13" t="n">
        <x:v>5723396589</x:v>
      </x:c>
      <x:c r="D13" t="str">
        <x:v>5.72B</x:v>
      </x:c>
      <x:c r="E13" t="str">
        <x:v>raw/other/stockanalysis-golf-statistics.html</x:v>
      </x:c>
    </x:row>
    <x:row r="14">
      <x:c r="A14" t="str">
        <x:v>GOLF</x:v>
      </x:c>
      <x:c r="B14" t="str">
        <x:v>enterprise_value</x:v>
      </x:c>
      <x:c r="C14" t="n">
        <x:v>6744179166</x:v>
      </x:c>
      <x:c r="D14" t="str">
        <x:v>6.74B</x:v>
      </x:c>
      <x:c r="E14" t="str">
        <x:v>raw/other/stockanalysis-golf-statistics.html</x:v>
      </x:c>
    </x:row>
    <x:row r="15">
      <x:c r="A15" t="str">
        <x:v>GOLF</x:v>
      </x:c>
      <x:c r="B15" t="str">
        <x:v>ev_ebitda</x:v>
      </x:c>
      <x:c r="C15" t="n">
        <x:v>18.92</x:v>
      </x:c>
      <x:c r="D15" t="str">
        <x:v>18.92</x:v>
      </x:c>
      <x:c r="E15" t="str">
        <x:v>raw/other/stockanalysis-golf-statistics.html</x:v>
      </x:c>
    </x:row>
    <x:row r="16">
      <x:c r="A16" t="str">
        <x:v>GOLF</x:v>
      </x:c>
      <x:c r="B16" t="str">
        <x:v>forward_pe</x:v>
      </x:c>
      <x:c r="C16" t="n">
        <x:v>26.3</x:v>
      </x:c>
      <x:c r="D16" t="str">
        <x:v>26.30</x:v>
      </x:c>
      <x:c r="E16" t="str">
        <x:v>raw/other/stockanalysis-golf-statistics.html</x:v>
      </x:c>
    </x:row>
    <x:row r="17">
      <x:c r="A17" t="str">
        <x:v>GOLF</x:v>
      </x:c>
      <x:c r="B17" t="str">
        <x:v>price_to_fcf</x:v>
      </x:c>
      <x:c r="C17" t="n">
        <x:v>47.652</x:v>
      </x:c>
      <x:c r="D17" t="str">
        <x:v>47.65</x:v>
      </x:c>
      <x:c r="E17" t="str">
        <x:v>raw/other/stockanalysis-golf-statistics.html</x:v>
      </x:c>
    </x:row>
    <x:row r="18">
      <x:c r="A18" t="str">
        <x:v>GOLF</x:v>
      </x:c>
      <x:c r="B18" t="str">
        <x:v>gross_margin</x:v>
      </x:c>
      <x:c r="C18" t="n">
        <x:v>47.73</x:v>
      </x:c>
      <x:c r="D18" t="str">
        <x:v>47.73%</x:v>
      </x:c>
      <x:c r="E18" t="str">
        <x:v>raw/other/stockanalysis-golf-statistics.html</x:v>
      </x:c>
    </x:row>
    <x:row r="19">
      <x:c r="A19" t="str">
        <x:v>GOLF</x:v>
      </x:c>
      <x:c r="B19" t="str">
        <x:v>operating_margin</x:v>
      </x:c>
      <x:c r="C19" t="n">
        <x:v>12.03</x:v>
      </x:c>
      <x:c r="D19" t="str">
        <x:v>12.03%</x:v>
      </x:c>
      <x:c r="E19" t="str">
        <x:v>raw/other/stockanalysis-golf-statistics.html</x:v>
      </x:c>
    </x:row>
    <x:row r="20">
      <x:c r="A20" t="str">
        <x:v>GOLF</x:v>
      </x:c>
      <x:c r="B20" t="str">
        <x:v>fcf_margin</x:v>
      </x:c>
      <x:c r="C20" t="n">
        <x:v>4.69</x:v>
      </x:c>
      <x:c r="D20" t="str">
        <x:v>4.69%</x:v>
      </x:c>
      <x:c r="E20" t="str">
        <x:v>raw/other/stockanalysis-golf-statistics.html</x:v>
      </x:c>
    </x:row>
    <x:row r="21">
      <x:c r="A21" t="str">
        <x:v>MAT</x:v>
      </x:c>
      <x:c r="B21" t="str">
        <x:v>market_cap</x:v>
      </x:c>
      <x:c r="C21" t="n">
        <x:v>4320611021</x:v>
      </x:c>
      <x:c r="D21" t="str">
        <x:v>4.32B</x:v>
      </x:c>
      <x:c r="E21" t="str">
        <x:v>raw/other/stockanalysis-mat-statistics.html</x:v>
      </x:c>
    </x:row>
    <x:row r="22">
      <x:c r="A22" t="str">
        <x:v>MAT</x:v>
      </x:c>
      <x:c r="B22" t="str">
        <x:v>enterprise_value</x:v>
      </x:c>
      <x:c r="C22" t="n">
        <x:v>5723179363</x:v>
      </x:c>
      <x:c r="D22" t="str">
        <x:v>5.72B</x:v>
      </x:c>
      <x:c r="E22" t="str">
        <x:v>raw/other/stockanalysis-mat-statistics.html</x:v>
      </x:c>
    </x:row>
    <x:row r="23">
      <x:c r="A23" t="str">
        <x:v>MAT</x:v>
      </x:c>
      <x:c r="B23" t="str">
        <x:v>ev_ebitda</x:v>
      </x:c>
      <x:c r="C23" t="n">
        <x:v>7.58</x:v>
      </x:c>
      <x:c r="D23" t="str">
        <x:v>7.58</x:v>
      </x:c>
      <x:c r="E23" t="str">
        <x:v>raw/other/stockanalysis-mat-statistics.html</x:v>
      </x:c>
    </x:row>
    <x:row r="24">
      <x:c r="A24" t="str">
        <x:v>MAT</x:v>
      </x:c>
      <x:c r="B24" t="str">
        <x:v>forward_pe</x:v>
      </x:c>
      <x:c r="C24" t="n">
        <x:v>12.101</x:v>
      </x:c>
      <x:c r="D24" t="str">
        <x:v>12.10</x:v>
      </x:c>
      <x:c r="E24" t="str">
        <x:v>raw/other/stockanalysis-mat-statistics.html</x:v>
      </x:c>
    </x:row>
    <x:row r="25">
      <x:c r="A25" t="str">
        <x:v>MAT</x:v>
      </x:c>
      <x:c r="B25" t="str">
        <x:v>price_to_fcf</x:v>
      </x:c>
      <x:c r="C25" t="n">
        <x:v>10.414</x:v>
      </x:c>
      <x:c r="D25" t="str">
        <x:v>10.41</x:v>
      </x:c>
      <x:c r="E25" t="str">
        <x:v>raw/other/stockanalysis-mat-statistics.html</x:v>
      </x:c>
    </x:row>
    <x:row r="26">
      <x:c r="A26" t="str">
        <x:v>MAT</x:v>
      </x:c>
      <x:c r="B26" t="str">
        <x:v>gross_margin</x:v>
      </x:c>
      <x:c r="C26" t="n">
        <x:v>48.87</x:v>
      </x:c>
      <x:c r="D26" t="str">
        <x:v>48.87%</x:v>
      </x:c>
      <x:c r="E26" t="str">
        <x:v>raw/other/stockanalysis-mat-statistics.html</x:v>
      </x:c>
    </x:row>
    <x:row r="27">
      <x:c r="A27" t="str">
        <x:v>MAT</x:v>
      </x:c>
      <x:c r="B27" t="str">
        <x:v>operating_margin</x:v>
      </x:c>
      <x:c r="C27" t="n">
        <x:v>10.97</x:v>
      </x:c>
      <x:c r="D27" t="str">
        <x:v>10.97%</x:v>
      </x:c>
      <x:c r="E27" t="str">
        <x:v>raw/other/stockanalysis-mat-statistics.html</x:v>
      </x:c>
    </x:row>
    <x:row r="28">
      <x:c r="A28" t="str">
        <x:v>MAT</x:v>
      </x:c>
      <x:c r="B28" t="str">
        <x:v>fcf_margin</x:v>
      </x:c>
      <x:c r="C28" t="n">
        <x:v>7.69</x:v>
      </x:c>
      <x:c r="D28" t="str">
        <x:v>7.69%</x:v>
      </x:c>
      <x:c r="E28" t="str">
        <x:v>raw/other/stockanalysis-mat-statistics.html</x:v>
      </x:c>
    </x:row>
    <x:row r="29">
      <x:c r="A29" t="str">
        <x:v>NWL</x:v>
      </x:c>
      <x:c r="B29" t="str">
        <x:v>market_cap</x:v>
      </x:c>
      <x:c r="C29" t="n">
        <x:v>1803818392</x:v>
      </x:c>
      <x:c r="D29" t="str">
        <x:v>1.80B</x:v>
      </x:c>
      <x:c r="E29" t="str">
        <x:v>raw/other/stockanalysis-nwl-statistics.html</x:v>
      </x:c>
    </x:row>
    <x:row r="30">
      <x:c r="A30" t="str">
        <x:v>NWL</x:v>
      </x:c>
      <x:c r="B30" t="str">
        <x:v>enterprise_value</x:v>
      </x:c>
      <x:c r="C30" t="n">
        <x:v>7007319837</x:v>
      </x:c>
      <x:c r="D30" t="str">
        <x:v>7.01B</x:v>
      </x:c>
      <x:c r="E30" t="str">
        <x:v>raw/other/stockanalysis-nwl-statistics.html</x:v>
      </x:c>
    </x:row>
    <x:row r="31">
      <x:c r="A31" t="str">
        <x:v>NWL</x:v>
      </x:c>
      <x:c r="B31" t="str">
        <x:v>ev_ebitda</x:v>
      </x:c>
      <x:c r="C31" t="n">
        <x:v>8.77</x:v>
      </x:c>
      <x:c r="D31" t="str">
        <x:v>8.77</x:v>
      </x:c>
      <x:c r="E31" t="str">
        <x:v>raw/other/stockanalysis-nwl-statistics.html</x:v>
      </x:c>
    </x:row>
    <x:row r="32">
      <x:c r="A32" t="str">
        <x:v>NWL</x:v>
      </x:c>
      <x:c r="B32" t="str">
        <x:v>forward_pe</x:v>
      </x:c>
      <x:c r="C32" t="n">
        <x:v>7.575</x:v>
      </x:c>
      <x:c r="D32" t="str">
        <x:v>7.58</x:v>
      </x:c>
      <x:c r="E32" t="str">
        <x:v>raw/other/stockanalysis-nwl-statistics.html</x:v>
      </x:c>
    </x:row>
    <x:row r="33">
      <x:c r="A33" t="str">
        <x:v>NWL</x:v>
      </x:c>
      <x:c r="B33" t="str">
        <x:v>price_to_fcf</x:v>
      </x:c>
      <x:c r="C33" t="n">
        <x:v>105.607</x:v>
      </x:c>
      <x:c r="D33" t="str">
        <x:v>105.61</x:v>
      </x:c>
      <x:c r="E33" t="str">
        <x:v>raw/other/stockanalysis-nwl-statistics.html</x:v>
      </x:c>
    </x:row>
    <x:row r="34">
      <x:c r="A34" t="str">
        <x:v>NWL</x:v>
      </x:c>
      <x:c r="B34" t="str">
        <x:v>gross_margin</x:v>
      </x:c>
      <x:c r="C34" t="n">
        <x:v>33.81</x:v>
      </x:c>
      <x:c r="D34" t="str">
        <x:v>33.81%</x:v>
      </x:c>
      <x:c r="E34" t="str">
        <x:v>raw/other/stockanalysis-nwl-statistics.html</x:v>
      </x:c>
    </x:row>
    <x:row r="35">
      <x:c r="A35" t="str">
        <x:v>NWL</x:v>
      </x:c>
      <x:c r="B35" t="str">
        <x:v>operating_margin</x:v>
      </x:c>
      <x:c r="C35" t="n">
        <x:v>6.77</x:v>
      </x:c>
      <x:c r="D35" t="str">
        <x:v>6.77%</x:v>
      </x:c>
      <x:c r="E35" t="str">
        <x:v>raw/other/stockanalysis-nwl-statistics.html</x:v>
      </x:c>
    </x:row>
    <x:row r="36">
      <x:c r="A36" t="str">
        <x:v>NWL</x:v>
      </x:c>
      <x:c r="B36" t="str">
        <x:v>fcf_margin</x:v>
      </x:c>
      <x:c r="C36" t="n">
        <x:v>0.24</x:v>
      </x:c>
      <x:c r="D36" t="str">
        <x:v>0.24%</x:v>
      </x:c>
      <x:c r="E36" t="str">
        <x:v>raw/other/stockanalysis-nwl-statistics.html</x:v>
      </x:c>
    </x:row>
    <x:row r="37">
      <x:c r="A37" t="str">
        <x:v>DTC</x:v>
      </x:c>
      <x:c r="B37" t="str">
        <x:v>market_cap</x:v>
      </x:c>
      <x:c r="C37" t="n">
        <x:v>12282322</x:v>
      </x:c>
      <x:c r="D37" t="str">
        <x:v>12.28M</x:v>
      </x:c>
      <x:c r="E37" t="str">
        <x:v>raw/other/stockanalysis-dtc-statistics.html</x:v>
      </x:c>
    </x:row>
    <x:row r="38">
      <x:c r="A38" t="str">
        <x:v>DTC</x:v>
      </x:c>
      <x:c r="B38" t="str">
        <x:v>enterprise_value</x:v>
      </x:c>
      <x:c r="C38" t="n">
        <x:v>259913321</x:v>
      </x:c>
      <x:c r="D38" t="str">
        <x:v>259.91M</x:v>
      </x:c>
      <x:c r="E38" t="str">
        <x:v>raw/other/stockanalysis-dtc-statistics.html</x:v>
      </x:c>
    </x:row>
    <x:row r="39">
      <x:c r="A39" t="str">
        <x:v>DTC</x:v>
      </x:c>
      <x:c r="B39" t="str">
        <x:v>ev_ebitda</x:v>
      </x:c>
      <x:c r="C39" t="n">
        <x:v>17.13</x:v>
      </x:c>
      <x:c r="D39" t="str">
        <x:v>17.13</x:v>
      </x:c>
      <x:c r="E39" t="str">
        <x:v>raw/other/stockanalysis-dtc-statistics.html</x:v>
      </x:c>
    </x:row>
    <x:row r="40">
      <x:c r="A40" t="str">
        <x:v>DTC</x:v>
      </x:c>
      <x:c r="B40" t="str">
        <x:v>gross_margin</x:v>
      </x:c>
      <x:c r="C40" t="n">
        <x:v>59.41</x:v>
      </x:c>
      <x:c r="D40" t="str">
        <x:v>59.41%</x:v>
      </x:c>
      <x:c r="E40" t="str">
        <x:v>raw/other/stockanalysis-dtc-statistics.html</x:v>
      </x:c>
    </x:row>
    <x:row r="41">
      <x:c r="A41" t="str">
        <x:v>DTC</x:v>
      </x:c>
      <x:c r="B41" t="str">
        <x:v>operating_margin</x:v>
      </x:c>
      <x:c r="C41" t="n">
        <x:v>-6.56</x:v>
      </x:c>
      <x:c r="D41" t="str">
        <x:v>-6.56%</x:v>
      </x:c>
      <x:c r="E41" t="str">
        <x:v>raw/other/stockanalysis-dtc-statistics.html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849998474121094" hidden="0" customWidth="1"/>
    <x:col min="2" max="2" width="25.030000686645508" hidden="0" customWidth="1"/>
    <x:col min="3" max="3" width="123.01000213623047" hidden="0" customWidth="1"/>
    <x:col min="4" max="4" width="45.36000061035156" hidden="0" customWidth="1"/>
    <x:col min="5" max="5" width="63.529998779296875" hidden="0" customWidth="1"/>
    <x:col min="6" max="6" width="95.41999816894531" hidden="0" customWidth="1"/>
    <x:col min="7" max="7" width="19.110000610351562" hidden="0" customWidth="1"/>
    <x:col min="8" max="8" width="8.75" hidden="0" customWidth="1"/>
    <x:col min="9" max="9" width="9.149999618530273" hidden="0" customWidth="1"/>
    <x:col min="10" max="10" width="51.279998779296875" hidden="0" customWidth="1"/>
  </x:cols>
  <x:sheetData>
    <x:row r="1">
      <x:c r="A1" s="2" t="str">
        <x:v>Source And Extraction Audit</x:v>
      </x:c>
    </x:row>
    <x:row r="2">
      <x:c r="A2" s="3" t="str">
        <x:v>All URLs are in sources.md; this tab connects extracted values to local raw files.</x:v>
      </x:c>
    </x:row>
    <x:row r="4">
      <x:c r="A4" s="6" t="str">
        <x:v>Source ID</x:v>
      </x:c>
      <x:c r="B4" s="6" t="str">
        <x:v>Timestamp UTC</x:v>
      </x:c>
      <x:c r="C4" s="6" t="str">
        <x:v>URL</x:v>
      </x:c>
      <x:c r="D4" s="6" t="str">
        <x:v>Local Path</x:v>
      </x:c>
      <x:c r="E4" s="6" t="str">
        <x:v>SHA-256</x:v>
      </x:c>
      <x:c r="F4" s="6" t="str">
        <x:v>Purpose</x:v>
      </x:c>
    </x:row>
    <x:row r="5">
      <x:c r="A5" t="str">
        <x:v>YETI-IR-Q4-2025-PR</x:v>
      </x:c>
      <x:c r="B5" t="n">
        <x:v>46139.72390046297</x:v>
      </x:c>
      <x:c r="C5" t="str">
        <x:v>https://investors.yeti.com/news/news-details/2026/YETI-ReportsFourth-Quarter-and-Full-Year-2025-Results-Provides-Full-Year-2026-Outlook/default.aspx</x:v>
      </x:c>
      <x:c r="D5" t="str">
        <x:v>raw/other/yeti-q4-fy2025-results-pr.html</x:v>
      </x:c>
      <x:c r="E5" t="str">
        <x:v>589b678410e0785da8ea9d29b7c4d5ef41c37f303d9f7027ed0433556ac8d908</x:v>
      </x:c>
      <x:c r="F5" t="str">
        <x:v>FY2025 results, FY2026 outlook, management commentary, non-GAAP reconciliations.</x:v>
      </x:c>
    </x:row>
    <x:row r="6">
      <x:c r="A6" t="str">
        <x:v>YETI-IR-Q3-2025-PR</x:v>
      </x:c>
      <x:c r="B6" t="n">
        <x:v>46139.723912037036</x:v>
      </x:c>
      <x:c r="C6" t="str">
        <x:v>https://investors.yeti.com/news/news-details/2025/YETI-Reports-Third-Quarter-2025-Results/default.aspx</x:v>
      </x:c>
      <x:c r="D6" t="str">
        <x:v>raw/other/yeti-q3-2025-results-pr.html</x:v>
      </x:c>
      <x:c r="E6" t="str">
        <x:v>36a427742121ae8c59e4bfba179e505886439012ae3e07b06bd3c17cf986a747</x:v>
      </x:c>
      <x:c r="F6" t="str">
        <x:v>Q3 2025 results, repurchase update, management commentary.</x:v>
      </x:c>
    </x:row>
    <x:row r="7">
      <x:c r="A7" t="str">
        <x:v>YETI-IR-Q2-2025-PR</x:v>
      </x:c>
      <x:c r="B7" t="n">
        <x:v>46139.723912037036</x:v>
      </x:c>
      <x:c r="C7" t="str">
        <x:v>https://investors.yeti.com/news/news-details/2025/YETI-Reports-Second-Quarter-2025-Results/default.aspx</x:v>
      </x:c>
      <x:c r="D7" t="str">
        <x:v>raw/other/yeti-q2-2025-results-pr.html</x:v>
      </x:c>
      <x:c r="E7" t="str">
        <x:v>bde3ebff1f80d65d7d17d85b31ff4d79b28d1652719d1a1df3ebfe76c9626f4a</x:v>
      </x:c>
      <x:c r="F7" t="str">
        <x:v>Q2 2025 results and tariff commentary.</x:v>
      </x:c>
    </x:row>
    <x:row r="8">
      <x:c r="A8" t="str">
        <x:v>YETI-IR-Q1-2025-PR</x:v>
      </x:c>
      <x:c r="B8" t="n">
        <x:v>46139.723912037036</x:v>
      </x:c>
      <x:c r="C8" t="str">
        <x:v>https://investors.yeti.com/news/news-details/2025/YETI-Reports-First-Quarter-2025-Results/default.aspx</x:v>
      </x:c>
      <x:c r="D8" t="str">
        <x:v>raw/other/yeti-q1-2025-results-pr.html</x:v>
      </x:c>
      <x:c r="E8" t="str">
        <x:v>d9079fe5eba9168645a5c1ff3a15238ee8fae9732a704091d1c4e0049aafaae4</x:v>
      </x:c>
      <x:c r="F8" t="str">
        <x:v>Q1 2025 results and outlook baseline.</x:v>
      </x:c>
    </x:row>
    <x:row r="9">
      <x:c r="A9" t="str">
        <x:v>YETI-IR-Q4-2024-PR</x:v>
      </x:c>
      <x:c r="B9" t="n">
        <x:v>46139.72392361111</x:v>
      </x:c>
      <x:c r="C9" t="str">
        <x:v>https://investors.yeti.com/news/news-details/2025/YETI-Reports-Fourth-Quarter-and-Fiscal-Year-2024-Results/default.aspx</x:v>
      </x:c>
      <x:c r="D9" t="str">
        <x:v>raw/other/yeti-q4-fy2024-results-pr.html</x:v>
      </x:c>
      <x:c r="E9" t="str">
        <x:v>5bd9c1f76c250e9fc6e666d6a076db8d2d57813ef1bf526333da274eca3e34fe</x:v>
      </x:c>
      <x:c r="F9" t="str">
        <x:v>FY2024 results and 2025 outlook comparison.</x:v>
      </x:c>
    </x:row>
    <x:row r="10">
      <x:c r="A10" t="str">
        <x:v>YETI-Q4-2025-TRANSCRIPT</x:v>
      </x:c>
      <x:c r="B10" t="n">
        <x:v>46139.72392361111</x:v>
      </x:c>
      <x:c r="C10" t="str">
        <x:v>https://s22.q4cdn.com/322452763/files/doc_financials/2025/q4/YETI-4Q25-Earnings-Call-Transcript.pdf</x:v>
      </x:c>
      <x:c r="D10" t="str">
        <x:v>raw/transcripts/yeti-q4-2025-earnings-call-transcript.pdf</x:v>
      </x:c>
      <x:c r="E10" t="str">
        <x:v>8f4f0b3af5dbafc874042ab2050aea2ffc29bf09a0c63e67014ffc3f035b708c</x:v>
      </x:c>
      <x:c r="F10" t="str">
        <x:v>Q4 2025 earnings-call transcript for management quotes.</x:v>
      </x:c>
    </x:row>
    <x:row r="11">
      <x:c r="A11" t="str">
        <x:v>YETI-Q3-2025-TRANSCRIPT</x:v>
      </x:c>
      <x:c r="B11" t="n">
        <x:v>46139.72393518518</x:v>
      </x:c>
      <x:c r="C11" t="str">
        <x:v>https://s22.q4cdn.com/322452763/files/doc_financials/2025/q3/YETI-3Q25-Earnings-Call-Transcript.pdf</x:v>
      </x:c>
      <x:c r="D11" t="str">
        <x:v>raw/transcripts/yeti-q3-2025-earnings-call-transcript.pdf</x:v>
      </x:c>
      <x:c r="E11" t="str">
        <x:v>221bd202c1415382ade6b1a7adabbac03e8f18a22c8aa50d4cc14cd8c0e06f95</x:v>
      </x:c>
      <x:c r="F11" t="str">
        <x:v>Q3 2025 earnings-call transcript for management quotes.</x:v>
      </x:c>
    </x:row>
    <x:row r="12">
      <x:c r="A12" t="str">
        <x:v>YETI-Q2-2025-TRANSCRIPT</x:v>
      </x:c>
      <x:c r="B12" t="n">
        <x:v>46139.72393518518</x:v>
      </x:c>
      <x:c r="C12" t="str">
        <x:v>https://s22.q4cdn.com/322452763/files/doc_financials/2025/q2/YETI-Holdings-Inc-Q2-2025-Earnings-Call.pdf</x:v>
      </x:c>
      <x:c r="D12" t="str">
        <x:v>raw/transcripts/yeti-q2-2025-earnings-call-transcript.pdf</x:v>
      </x:c>
      <x:c r="E12" t="str">
        <x:v>2a0defea908b44e837d46626a5174c03a6379f3f55524cac489630e5557aa075</x:v>
      </x:c>
      <x:c r="F12" t="str">
        <x:v>Q2 2025 earnings-call transcript for management quotes.</x:v>
      </x:c>
    </x:row>
    <x:row r="13">
      <x:c r="A13" t="str">
        <x:v>YETI-Q1-2025-TRANSCRIPT</x:v>
      </x:c>
      <x:c r="B13" t="n">
        <x:v>46139.72393518518</x:v>
      </x:c>
      <x:c r="C13" t="str">
        <x:v>https://s22.q4cdn.com/322452763/files/doc_financials/2025/q1/YETI-1Q25-Earnings-Transcript-050825.pdf</x:v>
      </x:c>
      <x:c r="D13" t="str">
        <x:v>raw/transcripts/yeti-q1-2025-earnings-call-transcript.pdf</x:v>
      </x:c>
      <x:c r="E13" t="str">
        <x:v>3961a784edb0b6e0c478bcd6bceec6e7105ff6de33ad4f038034180c052be114</x:v>
      </x:c>
      <x:c r="F13" t="str">
        <x:v>Q1 2025 earnings-call transcript for management quotes.</x:v>
      </x:c>
    </x:row>
    <x:row r="14">
      <x:c r="A14" t="str">
        <x:v>YETI-Q4-2024-TRANSCRIPT</x:v>
      </x:c>
      <x:c r="B14" t="n">
        <x:v>46139.72394675926</x:v>
      </x:c>
      <x:c r="C14" t="str">
        <x:v>https://s22.q4cdn.com/322452763/files/doc_financials/2024/q4/YETI-4Q24-Earnings-Transcript.pdf</x:v>
      </x:c>
      <x:c r="D14" t="str">
        <x:v>raw/transcripts/yeti-q4-2024-earnings-call-transcript.pdf</x:v>
      </x:c>
      <x:c r="E14" t="str">
        <x:v>9a38d7ed7dfed5e1e969619470f36698be80200cfca36878f83660fb6eac3983</x:v>
      </x:c>
      <x:c r="F14" t="str">
        <x:v>Q4 2024 earnings-call transcript for prior outlook comparison.</x:v>
      </x:c>
    </x:row>
    <x:row r="15">
      <x:c r="A15" t="str">
        <x:v>YETI-2026-PROXY</x:v>
      </x:c>
      <x:c r="B15" t="n">
        <x:v>46139.72394675926</x:v>
      </x:c>
      <x:c r="C15" t="str">
        <x:v>https://s22.q4cdn.com/322452763/files/doc_financials/2025/ar/YETI-2026-Proxy-Statement.pdf</x:v>
      </x:c>
      <x:c r="D15" t="str">
        <x:v>raw/other/yeti-2026-proxy-statement.pdf</x:v>
      </x:c>
      <x:c r="E15" t="str">
        <x:v>37b9d32ad91dc43d7a2d83c53ec556e5d9657a3c434ed2697bad2454b039d114</x:v>
      </x:c>
      <x:c r="F15" t="str">
        <x:v>Board, compensation, adjusted financial highlights, and ownership context.</x:v>
      </x:c>
    </x:row>
    <x:row r="16">
      <x:c r="A16" t="str">
        <x:v>STOCKANALYSIS-YETI-MARKET-CAP</x:v>
      </x:c>
      <x:c r="B16" t="n">
        <x:v>46139.72394675926</x:v>
      </x:c>
      <x:c r="C16" t="str">
        <x:v>https://stockanalysis.com/stocks/yeti/market-cap/</x:v>
      </x:c>
      <x:c r="D16" t="str">
        <x:v>raw/other/stockanalysis-yeti-market-cap.html</x:v>
      </x:c>
      <x:c r="E16" t="str">
        <x:v>081a9ede62e3a34f55eb23955b5aa473eb62364cb9296d0b568879cfc69d36d2</x:v>
      </x:c>
      <x:c r="F16" t="str">
        <x:v>Market capitalization screen for company eligibility.</x:v>
      </x:c>
    </x:row>
    <x:row r="17">
      <x:c r="A17" t="str">
        <x:v>STOCKANALYSIS-YETI-FORECAST</x:v>
      </x:c>
      <x:c r="B17" t="n">
        <x:v>46139.723958333336</x:v>
      </x:c>
      <x:c r="C17" t="str">
        <x:v>https://stockanalysis.com/stocks/yeti/forecast/</x:v>
      </x:c>
      <x:c r="D17" t="str">
        <x:v>raw/other/stockanalysis-yeti-forecast.html</x:v>
      </x:c>
      <x:c r="E17" t="str">
        <x:v>d9fb815a2db996fd04a8df40dcdddd053cd841b41c991c8a983291c374acda12</x:v>
      </x:c>
      <x:c r="F17" t="str">
        <x:v>Public consensus price target and analyst rating snapshot.</x:v>
      </x:c>
    </x:row>
    <x:row r="18">
      <x:c r="A18" t="str">
        <x:v>STOCKANALYSIS-YETI-STATISTICS</x:v>
      </x:c>
      <x:c r="B18" t="n">
        <x:v>46139.723958333336</x:v>
      </x:c>
      <x:c r="C18" t="str">
        <x:v>https://stockanalysis.com/stocks/yeti/statistics/</x:v>
      </x:c>
      <x:c r="D18" t="str">
        <x:v>raw/other/stockanalysis-yeti-statistics.html</x:v>
      </x:c>
      <x:c r="E18" t="str">
        <x:v>2ba08382d54aabb79be691d90cea7e6c5b24b5577b58646265ea9e4bd8f433a1</x:v>
      </x:c>
      <x:c r="F18" t="str">
        <x:v>Market-data cross-check for valuation inputs.</x:v>
      </x:c>
    </x:row>
    <x:row r="19">
      <x:c r="A19" t="str">
        <x:v>STOCKANALYSIS-GOLF-STATISTICS</x:v>
      </x:c>
      <x:c r="B19" t="n">
        <x:v>46139.723958333336</x:v>
      </x:c>
      <x:c r="C19" t="str">
        <x:v>https://stockanalysis.com/stocks/golf/statistics/</x:v>
      </x:c>
      <x:c r="D19" t="str">
        <x:v>raw/other/stockanalysis-golf-statistics.html</x:v>
      </x:c>
      <x:c r="E19" t="str">
        <x:v>45244bae3e0b370dd525864f7318400a5c2e7ed88f58f15f8aeafbb10aacf5f2</x:v>
      </x:c>
      <x:c r="F19" t="str">
        <x:v>Acushnet peer valuation and operating metrics.</x:v>
      </x:c>
    </x:row>
    <x:row r="20">
      <x:c r="A20" t="str">
        <x:v>STOCKANALYSIS-MAT-STATISTICS</x:v>
      </x:c>
      <x:c r="B20" t="n">
        <x:v>46139.723969907405</x:v>
      </x:c>
      <x:c r="C20" t="str">
        <x:v>https://stockanalysis.com/stocks/mat/statistics/</x:v>
      </x:c>
      <x:c r="D20" t="str">
        <x:v>raw/other/stockanalysis-mat-statistics.html</x:v>
      </x:c>
      <x:c r="E20" t="str">
        <x:v>655d14dc9131910a4d09ba7025a72fd48904d1e36241f2c986c9fb2440d76025</x:v>
      </x:c>
      <x:c r="F20" t="str">
        <x:v>Mattel peer valuation and operating metrics.</x:v>
      </x:c>
    </x:row>
    <x:row r="21">
      <x:c r="A21" t="str">
        <x:v>STOCKANALYSIS-NWL-STATISTICS</x:v>
      </x:c>
      <x:c r="B21" t="n">
        <x:v>46139.723969907405</x:v>
      </x:c>
      <x:c r="C21" t="str">
        <x:v>https://stockanalysis.com/stocks/nwl/statistics/</x:v>
      </x:c>
      <x:c r="D21" t="str">
        <x:v>raw/other/stockanalysis-nwl-statistics.html</x:v>
      </x:c>
      <x:c r="E21" t="str">
        <x:v>ed63b3e3a947840b69fe8537815fab6d1dcf32013d5b078eb334e63cbed78b1c</x:v>
      </x:c>
      <x:c r="F21" t="str">
        <x:v>Newell Brands peer valuation and operating metrics.</x:v>
      </x:c>
    </x:row>
    <x:row r="22">
      <x:c r="A22" t="str">
        <x:v>STOCKANALYSIS-DTC-STATISTICS</x:v>
      </x:c>
      <x:c r="B22" t="n">
        <x:v>46139.72398148148</x:v>
      </x:c>
      <x:c r="C22" t="str">
        <x:v>https://stockanalysis.com/quote/otc/SBDS/statistics/</x:v>
      </x:c>
      <x:c r="D22" t="str">
        <x:v>raw/other/stockanalysis-dtc-statistics.html</x:v>
      </x:c>
      <x:c r="E22" t="str">
        <x:v>c10493b52e545b088342ffde61e13958ed480fcca3e6dcd25aa83e58acb644f5</x:v>
      </x:c>
      <x:c r="F22" t="str">
        <x:v>Solo Brands peer valuation and operating metrics.</x:v>
      </x:c>
    </x:row>
    <x:row r="23">
      <x:c r="A23" t="str">
        <x:v>SEC-SUBMISSIONS-YETI</x:v>
      </x:c>
      <x:c r="B23" t="n">
        <x:v>46139.72398148148</x:v>
      </x:c>
      <x:c r="C23" t="str">
        <x:v>https://data.sec.gov/submissions/CIK0001670592.json</x:v>
      </x:c>
      <x:c r="D23" t="str">
        <x:v>raw/filings/sec-submissions-CIK0001670592.json</x:v>
      </x:c>
      <x:c r="E23" t="str">
        <x:v>c0ba23dc86f1e7b6e824d9327881dbfc9b36050398952627e0400c136b1edeea</x:v>
      </x:c>
      <x:c r="F23" t="str">
        <x:v>SEC submissions index used to locate filings.</x:v>
      </x:c>
    </x:row>
    <x:row r="24">
      <x:c r="A24" t="str">
        <x:v>SEC-COMPANYFACTS-YETI</x:v>
      </x:c>
      <x:c r="B24" t="n">
        <x:v>46139.72399305556</x:v>
      </x:c>
      <x:c r="C24" t="str">
        <x:v>https://data.sec.gov/api/xbrl/companyfacts/CIK0001670592.json</x:v>
      </x:c>
      <x:c r="D24" t="str">
        <x:v>raw/filings/sec-companyfacts-CIK0001670592.json</x:v>
      </x:c>
      <x:c r="E24" t="str">
        <x:v>dced473ce19deff4d113482db34d9bb72ba209cc3e2bface4e03087badfc77ab</x:v>
      </x:c>
      <x:c r="F24" t="str">
        <x:v>XBRL company facts used for extraction cross-checks.</x:v>
      </x:c>
    </x:row>
    <x:row r="25">
      <x:c r="A25" t="str">
        <x:v>US-TREASURY-DAILY-RATES</x:v>
      </x:c>
      <x:c r="B25" t="n">
        <x:v>46139.72399305556</x:v>
      </x:c>
      <x:c r="C25" t="str">
        <x:v>https://home.treasury.gov/resource-center/data-chart-center/interest-rates/TextView?type=daily_treasury_yield_curve&amp;field_tdr_date_value=2026</x:v>
      </x:c>
      <x:c r="D25" t="str">
        <x:v>raw/other/us-treasury-daily-yield-curve-2026.html</x:v>
      </x:c>
      <x:c r="E25" t="str">
        <x:v>af90deb90f48c631ad2746f4848995ddbf6e1b3cd263e7d6eee212dc9a339b57</x:v>
      </x:c>
      <x:c r="F25" t="str">
        <x:v>Risk-free-rate input for cost of equity/WACC.</x:v>
      </x:c>
    </x:row>
    <x:row r="26">
      <x:c r="A26" t="str">
        <x:v>KROLL-ERP-2026</x:v>
      </x:c>
      <x:c r="B26" t="n">
        <x:v>46139.7241087963</x:v>
      </x:c>
      <x:c r="C26" t="str">
        <x:v>https://www.kroll.com/en/reports/cost-of-capital/recommended-us-equity-risk-premium-and-corresponding-risk-free-rates</x:v>
      </x:c>
      <x:c r="D26" t="str">
        <x:v>raw/other/kroll-us-equity-risk-premium.html</x:v>
      </x:c>
      <x:c r="E26" t="str">
        <x:v>a72fce4a4db19d286ee4d348f819dd4555e6a79a2e333e6d60fbe293dcdc4f73</x:v>
      </x:c>
      <x:c r="F26" t="str">
        <x:v>Equity risk premium input for cost of equity.</x:v>
      </x:c>
    </x:row>
    <x:row r="27">
      <x:c r="A27" t="str">
        <x:v>SEC-YETI-10-K-2026-02-27-1</x:v>
      </x:c>
      <x:c r="B27" t="n">
        <x:v>46139.7241087963</x:v>
      </x:c>
      <x:c r="C27" t="str">
        <x:v>https://www.sec.gov/Archives/edgar/data/1670592/000167059226000013/yeti-20260103.htm</x:v>
      </x:c>
      <x:c r="D27" t="str">
        <x:v>raw/filings/yeti-2026-02-27-10-k-yeti-20260103.htm</x:v>
      </x:c>
      <x:c r="E27" t="str">
        <x:v>3ce6ea6519b5bff01847907eb580f1eb56acbc63857c4c4f6ff8c79ef86186ce</x:v>
      </x:c>
      <x:c r="F27" t="str">
        <x:v>YETI 10-K filed 2026-02-27; original SEC primary document.</x:v>
      </x:c>
    </x:row>
    <x:row r="28">
      <x:c r="A28" t="str">
        <x:v>SEC-YETI-8-K-2026-02-19-1</x:v>
      </x:c>
      <x:c r="B28" t="n">
        <x:v>46139.72412037037</x:v>
      </x:c>
      <x:c r="C28" t="str">
        <x:v>https://www.sec.gov/Archives/edgar/data/1670592/000167059226000004/yeti-20260219.htm</x:v>
      </x:c>
      <x:c r="D28" t="str">
        <x:v>raw/filings/yeti-2026-02-19-8-k-yeti-20260219.htm</x:v>
      </x:c>
      <x:c r="E28" t="str">
        <x:v>87365923e7646238fdffadee13013ad8c33cdbb47cd0f6960fb71ea3e416a80d</x:v>
      </x:c>
      <x:c r="F28" t="str">
        <x:v>YETI 8-K filed 2026-02-19; original SEC primary document.</x:v>
      </x:c>
    </x:row>
    <x:row r="29">
      <x:c r="A29" t="str">
        <x:v>SEC-YETI-8-K-2026-02-19-2</x:v>
      </x:c>
      <x:c r="B29" t="n">
        <x:v>46139.72412037037</x:v>
      </x:c>
      <x:c r="C29" t="str">
        <x:v>https://www.sec.gov/Archives/edgar/data/1670592/000110465926017245/tm266599d1_8k.htm</x:v>
      </x:c>
      <x:c r="D29" t="str">
        <x:v>raw/filings/yeti-2026-02-19-8-k-tm266599d1_8k.htm</x:v>
      </x:c>
      <x:c r="E29" t="str">
        <x:v>bd4f4804a648754425d3d171f4ae23cf269b41a5671d52bae82a773339e256a7</x:v>
      </x:c>
      <x:c r="F29" t="str">
        <x:v>YETI 8-K filed 2026-02-19; original SEC primary document.</x:v>
      </x:c>
    </x:row>
    <x:row r="30">
      <x:c r="A30" t="str">
        <x:v>SEC-YETI-10-Q-2025-11-06-1</x:v>
      </x:c>
      <x:c r="B30" t="n">
        <x:v>46139.72412037037</x:v>
      </x:c>
      <x:c r="C30" t="str">
        <x:v>https://www.sec.gov/Archives/edgar/data/1670592/000167059225000048/yeti-20250927.htm</x:v>
      </x:c>
      <x:c r="D30" t="str">
        <x:v>raw/filings/yeti-2025-11-06-10-q-yeti-20250927.htm</x:v>
      </x:c>
      <x:c r="E30" t="str">
        <x:v>9775259bd229d61e04f01442f4743c0e3bd8bc246cd16adbf21de91ba978f125</x:v>
      </x:c>
      <x:c r="F30" t="str">
        <x:v>YETI 10-Q filed 2025-11-06; original SEC primary document.</x:v>
      </x:c>
    </x:row>
    <x:row r="31">
      <x:c r="A31" t="str">
        <x:v>SEC-YETI-8-K-2025-11-06-3</x:v>
      </x:c>
      <x:c r="B31" t="n">
        <x:v>46139.724131944444</x:v>
      </x:c>
      <x:c r="C31" t="str">
        <x:v>https://www.sec.gov/Archives/edgar/data/1670592/000167059225000046/yeti-20251106.htm</x:v>
      </x:c>
      <x:c r="D31" t="str">
        <x:v>raw/filings/yeti-2025-11-06-8-k-yeti-20251106.htm</x:v>
      </x:c>
      <x:c r="E31" t="str">
        <x:v>13b87aa79e214b5b213484a9ced457e7402c2f946cfc5cd53b22ca70de448d3c</x:v>
      </x:c>
      <x:c r="F31" t="str">
        <x:v>YETI 8-K filed 2025-11-06; original SEC primary document.</x:v>
      </x:c>
    </x:row>
    <x:row r="32">
      <x:c r="A32" t="str">
        <x:v>SEC-YETI-10-Q-2025-08-07-2</x:v>
      </x:c>
      <x:c r="B32" t="n">
        <x:v>46139.724131944444</x:v>
      </x:c>
      <x:c r="C32" t="str">
        <x:v>https://www.sec.gov/Archives/edgar/data/1670592/000167059225000039/yeti-20250628.htm</x:v>
      </x:c>
      <x:c r="D32" t="str">
        <x:v>raw/filings/yeti-2025-08-07-10-q-yeti-20250628.htm</x:v>
      </x:c>
      <x:c r="E32" t="str">
        <x:v>6275c4c251f4b07ab5d1575889ead91011b528e6ac28a9896fa210a00cb40fa6</x:v>
      </x:c>
      <x:c r="F32" t="str">
        <x:v>YETI 10-Q filed 2025-08-07; original SEC primary document.</x:v>
      </x:c>
    </x:row>
    <x:row r="33">
      <x:c r="A33" t="str">
        <x:v>SEC-YETI-8-K-2025-08-07-4</x:v>
      </x:c>
      <x:c r="B33" t="n">
        <x:v>46139.724131944444</x:v>
      </x:c>
      <x:c r="C33" t="str">
        <x:v>https://www.sec.gov/Archives/edgar/data/1670592/000167059225000038/yeti-20250807.htm</x:v>
      </x:c>
      <x:c r="D33" t="str">
        <x:v>raw/filings/yeti-2025-08-07-8-k-yeti-20250807.htm</x:v>
      </x:c>
      <x:c r="E33" t="str">
        <x:v>dc206616c4c62c705ea95eb83e29f22ef0f3fe9e562905bad2f23f6cb74495ca</x:v>
      </x:c>
      <x:c r="F33" t="str">
        <x:v>YETI 8-K filed 2025-08-07; original SEC primary document.</x:v>
      </x:c>
    </x:row>
    <x:row r="34">
      <x:c r="A34" t="str">
        <x:v>SEC-YETI-10-Q-2025-05-08-3</x:v>
      </x:c>
      <x:c r="B34" t="n">
        <x:v>46139.72414351852</x:v>
      </x:c>
      <x:c r="C34" t="str">
        <x:v>https://www.sec.gov/Archives/edgar/data/1670592/000167059225000024/yeti-20250329.htm</x:v>
      </x:c>
      <x:c r="D34" t="str">
        <x:v>raw/filings/yeti-2025-05-08-10-q-yeti-20250329.htm</x:v>
      </x:c>
      <x:c r="E34" t="str">
        <x:v>6bc695a24e1f54ca9a5bc5da1ecb1771e4e48139ab62ae6435b2d73601bf0273</x:v>
      </x:c>
      <x:c r="F34" t="str">
        <x:v>YETI 10-Q filed 2025-05-08; original SEC primary document.</x:v>
      </x:c>
    </x:row>
    <x:row r="35">
      <x:c r="A35" t="str">
        <x:v>SEC-YETI-10-K-2025-02-24-2</x:v>
      </x:c>
      <x:c r="B35" t="n">
        <x:v>46139.72414351852</x:v>
      </x:c>
      <x:c r="C35" t="str">
        <x:v>https://www.sec.gov/Archives/edgar/data/1670592/000167059225000008/yeti-20241228.htm</x:v>
      </x:c>
      <x:c r="D35" t="str">
        <x:v>raw/filings/yeti-2025-02-24-10-k-yeti-20241228.htm</x:v>
      </x:c>
      <x:c r="E35" t="str">
        <x:v>05b62b661693c86eb7a340e07134f15cddb0f9c002d8c74bdb46b492f4d96b3d</x:v>
      </x:c>
      <x:c r="F35" t="str">
        <x:v>YETI 10-K filed 2025-02-24; original SEC primary document.</x:v>
      </x:c>
    </x:row>
    <x:row r="36">
      <x:c r="A36" t="str">
        <x:v>SEC-YETI-10-K-2024-02-26-3</x:v>
      </x:c>
      <x:c r="B36" t="n">
        <x:v>46139.72414351852</x:v>
      </x:c>
      <x:c r="C36" t="str">
        <x:v>https://www.sec.gov/Archives/edgar/data/1670592/000167059224000007/yeti-20231230.htm</x:v>
      </x:c>
      <x:c r="D36" t="str">
        <x:v>raw/filings/yeti-2024-02-26-10-k-yeti-20231230.htm</x:v>
      </x:c>
      <x:c r="E36" t="str">
        <x:v>f6ea45f8ca8fd4d23f95f0ab0d7027e33a193a17c13c738daac4d44f505aa7ad</x:v>
      </x:c>
      <x:c r="F36" t="str">
        <x:v>YETI 10-K filed 2024-02-26; original SEC primary document.</x:v>
      </x:c>
    </x:row>
    <x:row r="40">
      <x:c r="A40" s="8" t="str">
        <x:v>Extracted financial facts</x:v>
      </x:c>
      <x:c r="B40" s="8" t="str"/>
      <x:c r="C40" s="8" t="str"/>
      <x:c r="D40" s="8" t="str"/>
      <x:c r="E40" s="8" t="str"/>
      <x:c r="F40" s="8" t="str"/>
      <x:c r="G40" s="8" t="str"/>
      <x:c r="H40" s="8" t="str"/>
      <x:c r="I40" s="8" t="str"/>
      <x:c r="J40" s="8" t="str"/>
    </x:row>
    <x:row r="41">
      <x:c r="A41" s="6" t="str">
        <x:v>Period</x:v>
      </x:c>
      <x:c r="B41" s="6" t="str">
        <x:v>Metric</x:v>
      </x:c>
      <x:c r="C41" s="6" t="str">
        <x:v>Value</x:v>
      </x:c>
      <x:c r="D41" s="6" t="str">
        <x:v>Unit</x:v>
      </x:c>
      <x:c r="E41" s="6" t="str">
        <x:v>Source file</x:v>
      </x:c>
      <x:c r="F41" s="6" t="str">
        <x:v>Raw tag</x:v>
      </x:c>
      <x:c r="G41" s="6" t="str">
        <x:v>Accession</x:v>
      </x:c>
      <x:c r="H41" s="6" t="str">
        <x:v>Frame</x:v>
      </x:c>
      <x:c r="I41" s="6" t="str">
        <x:v>Filed</x:v>
      </x:c>
      <x:c r="J41" s="6" t="str">
        <x:v>Notes</x:v>
      </x:c>
    </x:row>
    <x:row r="42">
      <x:c r="A42" t="str">
        <x:v>FY2023</x:v>
      </x:c>
      <x:c r="B42" t="str">
        <x:v>revenue</x:v>
      </x:c>
      <x:c r="C42" t="n">
        <x:v>1658713000</x:v>
      </x:c>
      <x:c r="D42" t="str">
        <x:v>USD</x:v>
      </x:c>
      <x:c r="E42" t="str">
        <x:v>raw/filings/yeti-2026-02-27-10-k-yeti-20260103.htm</x:v>
      </x:c>
      <x:c r="F42" t="str">
        <x:v>us-gaap:RevenueFromContractWithCustomerExcludingAssessedTax</x:v>
      </x:c>
      <x:c r="G42" t="str">
        <x:v>0001670592-26-000013</x:v>
      </x:c>
      <x:c r="H42" t="str">
        <x:v>CY2023</x:v>
      </x:c>
      <x:c r="I42" t="str">
        <x:v>2026-02-27</x:v>
      </x:c>
      <x:c r="J42" t="str">
        <x:v>Annual 10-K fact selected by SEC frame/fiscal year.</x:v>
      </x:c>
    </x:row>
    <x:row r="43">
      <x:c r="A43" t="str">
        <x:v>FY2023</x:v>
      </x:c>
      <x:c r="B43" t="str">
        <x:v>cogs</x:v>
      </x:c>
      <x:c r="C43" t="n">
        <x:v>715527000</x:v>
      </x:c>
      <x:c r="D43" t="str">
        <x:v>USD</x:v>
      </x:c>
      <x:c r="E43" t="str">
        <x:v>raw/filings/yeti-2026-02-27-10-k-yeti-20260103.htm</x:v>
      </x:c>
      <x:c r="F43" t="str">
        <x:v>us-gaap:CostOfRevenue</x:v>
      </x:c>
      <x:c r="G43" t="str">
        <x:v>0001670592-26-000013</x:v>
      </x:c>
      <x:c r="H43" t="str">
        <x:v>CY2023</x:v>
      </x:c>
      <x:c r="I43" t="str">
        <x:v>2026-02-27</x:v>
      </x:c>
      <x:c r="J43" t="str">
        <x:v>Annual 10-K fact selected by SEC frame/fiscal year.</x:v>
      </x:c>
    </x:row>
    <x:row r="44">
      <x:c r="A44" t="str">
        <x:v>FY2023</x:v>
      </x:c>
      <x:c r="B44" t="str">
        <x:v>gross_profit</x:v>
      </x:c>
      <x:c r="C44" t="n">
        <x:v>943186000</x:v>
      </x:c>
      <x:c r="D44" t="str">
        <x:v>USD</x:v>
      </x:c>
      <x:c r="E44" t="str">
        <x:v>raw/filings/yeti-2026-02-27-10-k-yeti-20260103.htm</x:v>
      </x:c>
      <x:c r="F44" t="str">
        <x:v>us-gaap:GrossProfit</x:v>
      </x:c>
      <x:c r="G44" t="str">
        <x:v>0001670592-26-000013</x:v>
      </x:c>
      <x:c r="H44" t="str">
        <x:v>CY2023</x:v>
      </x:c>
      <x:c r="I44" t="str">
        <x:v>2026-02-27</x:v>
      </x:c>
      <x:c r="J44" t="str">
        <x:v>Annual 10-K fact selected by SEC frame/fiscal year.</x:v>
      </x:c>
    </x:row>
    <x:row r="45">
      <x:c r="A45" t="str">
        <x:v>FY2023</x:v>
      </x:c>
      <x:c r="B45" t="str">
        <x:v>sga</x:v>
      </x:c>
      <x:c r="C45" t="n">
        <x:v>717728000</x:v>
      </x:c>
      <x:c r="D45" t="str">
        <x:v>USD</x:v>
      </x:c>
      <x:c r="E45" t="str">
        <x:v>raw/filings/yeti-2026-02-27-10-k-yeti-20260103.htm</x:v>
      </x:c>
      <x:c r="F45" t="str">
        <x:v>us-gaap:SellingGeneralAndAdministrativeExpense</x:v>
      </x:c>
      <x:c r="G45" t="str">
        <x:v>0001670592-26-000013</x:v>
      </x:c>
      <x:c r="H45" t="str">
        <x:v>CY2023</x:v>
      </x:c>
      <x:c r="I45" t="str">
        <x:v>2026-02-27</x:v>
      </x:c>
      <x:c r="J45" t="str">
        <x:v>Annual 10-K fact selected by SEC frame/fiscal year.</x:v>
      </x:c>
    </x:row>
    <x:row r="46">
      <x:c r="A46" t="str">
        <x:v>FY2023</x:v>
      </x:c>
      <x:c r="B46" t="str">
        <x:v>operating_income</x:v>
      </x:c>
      <x:c r="C46" t="n">
        <x:v>225458000</x:v>
      </x:c>
      <x:c r="D46" t="str">
        <x:v>USD</x:v>
      </x:c>
      <x:c r="E46" t="str">
        <x:v>raw/filings/yeti-2026-02-27-10-k-yeti-20260103.htm</x:v>
      </x:c>
      <x:c r="F46" t="str">
        <x:v>us-gaap:OperatingIncomeLoss</x:v>
      </x:c>
      <x:c r="G46" t="str">
        <x:v>0001670592-26-000013</x:v>
      </x:c>
      <x:c r="H46" t="str">
        <x:v>CY2023</x:v>
      </x:c>
      <x:c r="I46" t="str">
        <x:v>2026-02-27</x:v>
      </x:c>
      <x:c r="J46" t="str">
        <x:v>Annual 10-K fact selected by SEC frame/fiscal year.</x:v>
      </x:c>
    </x:row>
    <x:row r="47">
      <x:c r="A47" t="str">
        <x:v>FY2023</x:v>
      </x:c>
      <x:c r="B47" t="str">
        <x:v>pretax_income</x:v>
      </x:c>
      <x:c r="C47" t="n">
        <x:v>225946000</x:v>
      </x:c>
      <x:c r="D47" t="str">
        <x:v>USD</x:v>
      </x:c>
      <x:c r="E47" t="str">
        <x:v>raw/filings/yeti-2026-02-27-10-k-yeti-20260103.htm</x:v>
      </x:c>
      <x:c r="F47" t="str">
        <x:v>us-gaap:IncomeLossFromContinuingOperationsBeforeIncomeTaxesExtraordinaryItemsNoncontrollingInterest</x:v>
      </x:c>
      <x:c r="G47" t="str">
        <x:v>0001670592-26-000013</x:v>
      </x:c>
      <x:c r="H47" t="str">
        <x:v>CY2023</x:v>
      </x:c>
      <x:c r="I47" t="str">
        <x:v>2026-02-27</x:v>
      </x:c>
      <x:c r="J47" t="str">
        <x:v>Annual 10-K fact selected by SEC frame/fiscal year.</x:v>
      </x:c>
    </x:row>
    <x:row r="48">
      <x:c r="A48" t="str">
        <x:v>FY2023</x:v>
      </x:c>
      <x:c r="B48" t="str">
        <x:v>income_tax</x:v>
      </x:c>
      <x:c r="C48" t="n">
        <x:v>56061000</x:v>
      </x:c>
      <x:c r="D48" t="str">
        <x:v>USD</x:v>
      </x:c>
      <x:c r="E48" t="str">
        <x:v>raw/filings/yeti-2026-02-27-10-k-yeti-20260103.htm</x:v>
      </x:c>
      <x:c r="F48" t="str">
        <x:v>us-gaap:IncomeTaxExpenseBenefit</x:v>
      </x:c>
      <x:c r="G48" t="str">
        <x:v>0001670592-26-000013</x:v>
      </x:c>
      <x:c r="H48" t="str">
        <x:v>CY2023</x:v>
      </x:c>
      <x:c r="I48" t="str">
        <x:v>2026-02-27</x:v>
      </x:c>
      <x:c r="J48" t="str">
        <x:v>Annual 10-K fact selected by SEC frame/fiscal year.</x:v>
      </x:c>
    </x:row>
    <x:row r="49">
      <x:c r="A49" t="str">
        <x:v>FY2023</x:v>
      </x:c>
      <x:c r="B49" t="str">
        <x:v>net_income</x:v>
      </x:c>
      <x:c r="C49" t="n">
        <x:v>169885000</x:v>
      </x:c>
      <x:c r="D49" t="str">
        <x:v>USD</x:v>
      </x:c>
      <x:c r="E49" t="str">
        <x:v>raw/filings/yeti-2026-02-27-10-k-yeti-20260103.htm</x:v>
      </x:c>
      <x:c r="F49" t="str">
        <x:v>us-gaap:NetIncomeLoss</x:v>
      </x:c>
      <x:c r="G49" t="str">
        <x:v>0001670592-26-000013</x:v>
      </x:c>
      <x:c r="H49" t="str">
        <x:v>CY2023</x:v>
      </x:c>
      <x:c r="I49" t="str">
        <x:v>2026-02-27</x:v>
      </x:c>
      <x:c r="J49" t="str">
        <x:v>Annual 10-K fact selected by SEC frame/fiscal year.</x:v>
      </x:c>
    </x:row>
    <x:row r="50">
      <x:c r="A50" t="str">
        <x:v>FY2023</x:v>
      </x:c>
      <x:c r="B50" t="str">
        <x:v>diluted_eps</x:v>
      </x:c>
      <x:c r="C50" t="n">
        <x:v>1.94</x:v>
      </x:c>
      <x:c r="D50" t="str">
        <x:v>USD/shares</x:v>
      </x:c>
      <x:c r="E50" t="str">
        <x:v>raw/filings/yeti-2026-02-27-10-k-yeti-20260103.htm</x:v>
      </x:c>
      <x:c r="F50" t="str">
        <x:v>us-gaap:EarningsPerShareDiluted</x:v>
      </x:c>
      <x:c r="G50" t="str">
        <x:v>0001670592-26-000013</x:v>
      </x:c>
      <x:c r="H50" t="str">
        <x:v>CY2023</x:v>
      </x:c>
      <x:c r="I50" t="str">
        <x:v>2026-02-27</x:v>
      </x:c>
      <x:c r="J50" t="str">
        <x:v>Annual 10-K fact selected by SEC frame/fiscal year.</x:v>
      </x:c>
    </x:row>
    <x:row r="51">
      <x:c r="A51" t="str">
        <x:v>FY2023</x:v>
      </x:c>
      <x:c r="B51" t="str">
        <x:v>diluted_shares</x:v>
      </x:c>
      <x:c r="C51" t="n">
        <x:v>87403000</x:v>
      </x:c>
      <x:c r="D51" t="str">
        <x:v>shares</x:v>
      </x:c>
      <x:c r="E51" t="str">
        <x:v>raw/filings/yeti-2026-02-27-10-k-yeti-20260103.htm</x:v>
      </x:c>
      <x:c r="F51" t="str">
        <x:v>us-gaap:WeightedAverageNumberOfDilutedSharesOutstanding</x:v>
      </x:c>
      <x:c r="G51" t="str">
        <x:v>0001670592-26-000013</x:v>
      </x:c>
      <x:c r="H51" t="str">
        <x:v>CY2023</x:v>
      </x:c>
      <x:c r="I51" t="str">
        <x:v>2026-02-27</x:v>
      </x:c>
      <x:c r="J51" t="str">
        <x:v>Annual 10-K fact selected by SEC frame/fiscal year.</x:v>
      </x:c>
    </x:row>
    <x:row r="52">
      <x:c r="A52" t="str">
        <x:v>FY2023</x:v>
      </x:c>
      <x:c r="B52" t="str">
        <x:v>operating_cash_flow</x:v>
      </x:c>
      <x:c r="C52" t="n">
        <x:v>285942000</x:v>
      </x:c>
      <x:c r="D52" t="str">
        <x:v>USD</x:v>
      </x:c>
      <x:c r="E52" t="str">
        <x:v>raw/filings/yeti-2026-02-27-10-k-yeti-20260103.htm</x:v>
      </x:c>
      <x:c r="F52" t="str">
        <x:v>us-gaap:NetCashProvidedByUsedInOperatingActivities</x:v>
      </x:c>
      <x:c r="G52" t="str">
        <x:v>0001670592-26-000013</x:v>
      </x:c>
      <x:c r="H52" t="str">
        <x:v>CY2023</x:v>
      </x:c>
      <x:c r="I52" t="str">
        <x:v>2026-02-27</x:v>
      </x:c>
      <x:c r="J52" t="str">
        <x:v>Annual 10-K fact selected by SEC frame/fiscal year.</x:v>
      </x:c>
    </x:row>
    <x:row r="53">
      <x:c r="A53" t="str">
        <x:v>FY2023</x:v>
      </x:c>
      <x:c r="B53" t="str">
        <x:v>capex</x:v>
      </x:c>
      <x:c r="C53" t="n">
        <x:v>50672000</x:v>
      </x:c>
      <x:c r="D53" t="str">
        <x:v>USD</x:v>
      </x:c>
      <x:c r="E53" t="str">
        <x:v>raw/filings/yeti-2026-02-27-10-k-yeti-20260103.htm</x:v>
      </x:c>
      <x:c r="F53" t="str">
        <x:v>us-gaap:PaymentsToAcquirePropertyPlantAndEquipment</x:v>
      </x:c>
      <x:c r="G53" t="str">
        <x:v>0001670592-26-000013</x:v>
      </x:c>
      <x:c r="H53" t="str">
        <x:v>CY2023</x:v>
      </x:c>
      <x:c r="I53" t="str">
        <x:v>2026-02-27</x:v>
      </x:c>
      <x:c r="J53" t="str">
        <x:v>Annual 10-K fact selected by SEC frame/fiscal year.</x:v>
      </x:c>
    </x:row>
    <x:row r="54">
      <x:c r="A54" t="str">
        <x:v>FY2023</x:v>
      </x:c>
      <x:c r="B54" t="str">
        <x:v>depreciation_amortization</x:v>
      </x:c>
      <x:c r="C54" t="n">
        <x:v>46434000</x:v>
      </x:c>
      <x:c r="D54" t="str">
        <x:v>USD</x:v>
      </x:c>
      <x:c r="E54" t="str">
        <x:v>raw/filings/yeti-2026-02-27-10-k-yeti-20260103.htm</x:v>
      </x:c>
      <x:c r="F54" t="str">
        <x:v>us-gaap:DepreciationDepletionAndAmortization</x:v>
      </x:c>
      <x:c r="G54" t="str">
        <x:v>0001670592-26-000013</x:v>
      </x:c>
      <x:c r="H54" t="str">
        <x:v>CY2023</x:v>
      </x:c>
      <x:c r="I54" t="str">
        <x:v>2026-02-27</x:v>
      </x:c>
      <x:c r="J54" t="str">
        <x:v>Annual 10-K fact selected by SEC frame/fiscal year.</x:v>
      </x:c>
    </x:row>
    <x:row r="55">
      <x:c r="A55" t="str">
        <x:v>FY2023</x:v>
      </x:c>
      <x:c r="B55" t="str">
        <x:v>stock_comp</x:v>
      </x:c>
      <x:c r="C55" t="n">
        <x:v>29800000</x:v>
      </x:c>
      <x:c r="D55" t="str">
        <x:v>USD</x:v>
      </x:c>
      <x:c r="E55" t="str">
        <x:v>raw/filings/yeti-2026-02-27-10-k-yeti-20260103.htm</x:v>
      </x:c>
      <x:c r="F55" t="str">
        <x:v>us-gaap:ShareBasedCompensation</x:v>
      </x:c>
      <x:c r="G55" t="str">
        <x:v>0001670592-26-000013</x:v>
      </x:c>
      <x:c r="H55" t="str">
        <x:v>CY2023</x:v>
      </x:c>
      <x:c r="I55" t="str">
        <x:v>2026-02-27</x:v>
      </x:c>
      <x:c r="J55" t="str">
        <x:v>Annual 10-K fact selected by SEC frame/fiscal year.</x:v>
      </x:c>
    </x:row>
    <x:row r="56">
      <x:c r="A56" t="str">
        <x:v>FY2023</x:v>
      </x:c>
      <x:c r="B56" t="str">
        <x:v>share_repurchases</x:v>
      </x:c>
      <x:c r="C56" t="n">
        <x:v>0</x:v>
      </x:c>
      <x:c r="D56" t="str">
        <x:v>USD</x:v>
      </x:c>
      <x:c r="E56" t="str">
        <x:v>raw/filings/yeti-2026-02-27-10-k-yeti-20260103.htm</x:v>
      </x:c>
      <x:c r="F56" t="str">
        <x:v>us-gaap:PaymentsForRepurchaseOfCommonStock</x:v>
      </x:c>
      <x:c r="G56" t="str">
        <x:v>0001670592-26-000013</x:v>
      </x:c>
      <x:c r="H56" t="str">
        <x:v>CY2023</x:v>
      </x:c>
      <x:c r="I56" t="str">
        <x:v>2026-02-27</x:v>
      </x:c>
      <x:c r="J56" t="str">
        <x:v>Annual 10-K fact selected by SEC frame/fiscal year.</x:v>
      </x:c>
    </x:row>
    <x:row r="57">
      <x:c r="A57" t="str">
        <x:v>FY2023</x:v>
      </x:c>
      <x:c r="B57" t="str">
        <x:v>cash</x:v>
      </x:c>
      <x:c r="C57" t="n">
        <x:v>438960000</x:v>
      </x:c>
      <x:c r="D57" t="str">
        <x:v>USD</x:v>
      </x:c>
      <x:c r="E57" t="str">
        <x:v>raw/filings/yeti-2026-02-27-10-k-yeti-20260103.htm</x:v>
      </x:c>
      <x:c r="F57" t="str">
        <x:v>us-gaap:CashCashEquivalentsRestrictedCashAndRestrictedCashEquivalents</x:v>
      </x:c>
      <x:c r="G57" t="str">
        <x:v>0001670592-26-000013</x:v>
      </x:c>
      <x:c r="H57" t="str">
        <x:v>CY2023Q4I</x:v>
      </x:c>
      <x:c r="I57" t="str">
        <x:v>2026-02-27</x:v>
      </x:c>
      <x:c r="J57" t="str">
        <x:v>Fiscal year-end balance sheet fact selected by SEC instant frame.</x:v>
      </x:c>
    </x:row>
    <x:row r="58">
      <x:c r="A58" t="str">
        <x:v>FY2023</x:v>
      </x:c>
      <x:c r="B58" t="str">
        <x:v>accounts_receivable</x:v>
      </x:c>
      <x:c r="C58" t="n">
        <x:v>95774000</x:v>
      </x:c>
      <x:c r="D58" t="str">
        <x:v>USD</x:v>
      </x:c>
      <x:c r="E58" t="str">
        <x:v>raw/filings/yeti-2025-02-24-10-k-yeti-20241228.htm</x:v>
      </x:c>
      <x:c r="F58" t="str">
        <x:v>us-gaap:AccountsReceivableNetCurrent</x:v>
      </x:c>
      <x:c r="G58" t="str">
        <x:v>0001670592-25-000008</x:v>
      </x:c>
      <x:c r="H58" t="str">
        <x:v>CY2023Q4I</x:v>
      </x:c>
      <x:c r="I58" t="str">
        <x:v>2025-02-24</x:v>
      </x:c>
      <x:c r="J58" t="str">
        <x:v>Fiscal year-end balance sheet fact selected by SEC instant frame.</x:v>
      </x:c>
    </x:row>
    <x:row r="59">
      <x:c r="A59" t="str">
        <x:v>FY2023</x:v>
      </x:c>
      <x:c r="B59" t="str">
        <x:v>inventory</x:v>
      </x:c>
      <x:c r="C59" t="n">
        <x:v>337208000</x:v>
      </x:c>
      <x:c r="D59" t="str">
        <x:v>USD</x:v>
      </x:c>
      <x:c r="E59" t="str">
        <x:v>raw/filings/yeti-2025-02-24-10-k-yeti-20241228.htm</x:v>
      </x:c>
      <x:c r="F59" t="str">
        <x:v>us-gaap:InventoryNet</x:v>
      </x:c>
      <x:c r="G59" t="str">
        <x:v>0001670592-25-000008</x:v>
      </x:c>
      <x:c r="H59" t="str">
        <x:v>CY2023Q4I</x:v>
      </x:c>
      <x:c r="I59" t="str">
        <x:v>2025-02-24</x:v>
      </x:c>
      <x:c r="J59" t="str">
        <x:v>Fiscal year-end balance sheet fact selected by SEC instant frame.</x:v>
      </x:c>
    </x:row>
    <x:row r="60">
      <x:c r="A60" t="str">
        <x:v>FY2023</x:v>
      </x:c>
      <x:c r="B60" t="str">
        <x:v>prepaids_other_current_assets</x:v>
      </x:c>
      <x:c r="C60" t="n">
        <x:v>42463000</x:v>
      </x:c>
      <x:c r="D60" t="str">
        <x:v>USD</x:v>
      </x:c>
      <x:c r="E60" t="str">
        <x:v>raw/filings/yeti-2025-02-24-10-k-yeti-20241228.htm</x:v>
      </x:c>
      <x:c r="F60" t="str">
        <x:v>us-gaap:PrepaidExpenseAndOtherAssetsCurrent</x:v>
      </x:c>
      <x:c r="G60" t="str">
        <x:v>0001670592-25-000008</x:v>
      </x:c>
      <x:c r="H60" t="str">
        <x:v>CY2023Q4I</x:v>
      </x:c>
      <x:c r="I60" t="str">
        <x:v>2025-02-24</x:v>
      </x:c>
      <x:c r="J60" t="str">
        <x:v>Fiscal year-end balance sheet fact selected by SEC instant frame.</x:v>
      </x:c>
    </x:row>
    <x:row r="61">
      <x:c r="A61" t="str">
        <x:v>FY2023</x:v>
      </x:c>
      <x:c r="B61" t="str">
        <x:v>current_assets</x:v>
      </x:c>
      <x:c r="C61" t="n">
        <x:v>914405000</x:v>
      </x:c>
      <x:c r="D61" t="str">
        <x:v>USD</x:v>
      </x:c>
      <x:c r="E61" t="str">
        <x:v>raw/filings/yeti-2025-02-24-10-k-yeti-20241228.htm</x:v>
      </x:c>
      <x:c r="F61" t="str">
        <x:v>us-gaap:AssetsCurrent</x:v>
      </x:c>
      <x:c r="G61" t="str">
        <x:v>0001670592-25-000008</x:v>
      </x:c>
      <x:c r="H61" t="str">
        <x:v>CY2023Q4I</x:v>
      </x:c>
      <x:c r="I61" t="str">
        <x:v>2025-02-24</x:v>
      </x:c>
      <x:c r="J61" t="str">
        <x:v>Fiscal year-end balance sheet fact selected by SEC instant frame.</x:v>
      </x:c>
    </x:row>
    <x:row r="62">
      <x:c r="A62" t="str">
        <x:v>FY2023</x:v>
      </x:c>
      <x:c r="B62" t="str">
        <x:v>ppe_net</x:v>
      </x:c>
      <x:c r="C62" t="n">
        <x:v>130714000</x:v>
      </x:c>
      <x:c r="D62" t="str">
        <x:v>USD</x:v>
      </x:c>
      <x:c r="E62" t="str">
        <x:v>raw/filings/yeti-2025-02-24-10-k-yeti-20241228.htm</x:v>
      </x:c>
      <x:c r="F62" t="str">
        <x:v>us-gaap:PropertyPlantAndEquipmentAndFinanceLeaseRightOfUseAssetAfterAccumulatedDepreciationAndAmortization</x:v>
      </x:c>
      <x:c r="G62" t="str">
        <x:v>0001670592-25-000008</x:v>
      </x:c>
      <x:c r="H62" t="str">
        <x:v>CY2023Q4I</x:v>
      </x:c>
      <x:c r="I62" t="str">
        <x:v>2025-02-24</x:v>
      </x:c>
      <x:c r="J62" t="str">
        <x:v>Fiscal year-end balance sheet fact selected by SEC instant frame.</x:v>
      </x:c>
    </x:row>
    <x:row r="63">
      <x:c r="A63" t="str">
        <x:v>FY2023</x:v>
      </x:c>
      <x:c r="B63" t="str">
        <x:v>operating_lease_assets</x:v>
      </x:c>
      <x:c r="C63" t="n">
        <x:v>77556000</x:v>
      </x:c>
      <x:c r="D63" t="str">
        <x:v>USD</x:v>
      </x:c>
      <x:c r="E63" t="str">
        <x:v>raw/filings/yeti-2025-02-24-10-k-yeti-20241228.htm</x:v>
      </x:c>
      <x:c r="F63" t="str">
        <x:v>us-gaap:OperatingLeaseRightOfUseAsset</x:v>
      </x:c>
      <x:c r="G63" t="str">
        <x:v>0001670592-25-000008</x:v>
      </x:c>
      <x:c r="H63" t="str">
        <x:v>CY2023Q4I</x:v>
      </x:c>
      <x:c r="I63" t="str">
        <x:v>2025-02-24</x:v>
      </x:c>
      <x:c r="J63" t="str">
        <x:v>Fiscal year-end balance sheet fact selected by SEC instant frame.</x:v>
      </x:c>
    </x:row>
    <x:row r="64">
      <x:c r="A64" t="str">
        <x:v>FY2023</x:v>
      </x:c>
      <x:c r="B64" t="str">
        <x:v>goodwill</x:v>
      </x:c>
      <x:c r="C64" t="n">
        <x:v>54293000</x:v>
      </x:c>
      <x:c r="D64" t="str">
        <x:v>USD</x:v>
      </x:c>
      <x:c r="E64" t="str">
        <x:v>raw/filings/yeti-2025-02-24-10-k-yeti-20241228.htm</x:v>
      </x:c>
      <x:c r="F64" t="str">
        <x:v>us-gaap:Goodwill</x:v>
      </x:c>
      <x:c r="G64" t="str">
        <x:v>0001670592-25-000008</x:v>
      </x:c>
      <x:c r="H64" t="str">
        <x:v>CY2023Q4I</x:v>
      </x:c>
      <x:c r="I64" t="str">
        <x:v>2025-02-24</x:v>
      </x:c>
      <x:c r="J64" t="str">
        <x:v>Fiscal year-end balance sheet fact selected by SEC instant frame.</x:v>
      </x:c>
    </x:row>
    <x:row r="65">
      <x:c r="A65" t="str">
        <x:v>FY2023</x:v>
      </x:c>
      <x:c r="B65" t="str">
        <x:v>intangible_assets</x:v>
      </x:c>
      <x:c r="C65" t="n">
        <x:v>117629000</x:v>
      </x:c>
      <x:c r="D65" t="str">
        <x:v>USD</x:v>
      </x:c>
      <x:c r="E65" t="str">
        <x:v>raw/filings/yeti-2025-02-24-10-k-yeti-20241228.htm</x:v>
      </x:c>
      <x:c r="F65" t="str">
        <x:v>us-gaap:IntangibleAssetsNetExcludingGoodwill</x:v>
      </x:c>
      <x:c r="G65" t="str">
        <x:v>0001670592-25-000008</x:v>
      </x:c>
      <x:c r="H65" t="str">
        <x:v>CY2023Q4I</x:v>
      </x:c>
      <x:c r="I65" t="str">
        <x:v>2025-02-24</x:v>
      </x:c>
      <x:c r="J65" t="str">
        <x:v>Fiscal year-end balance sheet fact selected by SEC instant frame.</x:v>
      </x:c>
    </x:row>
    <x:row r="66">
      <x:c r="A66" t="str">
        <x:v>FY2023</x:v>
      </x:c>
      <x:c r="B66" t="str">
        <x:v>total_assets</x:v>
      </x:c>
      <x:c r="C66" t="n">
        <x:v>1297192000</x:v>
      </x:c>
      <x:c r="D66" t="str">
        <x:v>USD</x:v>
      </x:c>
      <x:c r="E66" t="str">
        <x:v>raw/filings/yeti-2025-02-24-10-k-yeti-20241228.htm</x:v>
      </x:c>
      <x:c r="F66" t="str">
        <x:v>us-gaap:Assets</x:v>
      </x:c>
      <x:c r="G66" t="str">
        <x:v>0001670592-25-000008</x:v>
      </x:c>
      <x:c r="H66" t="str">
        <x:v>CY2023Q4I</x:v>
      </x:c>
      <x:c r="I66" t="str">
        <x:v>2025-02-24</x:v>
      </x:c>
      <x:c r="J66" t="str">
        <x:v>Fiscal year-end balance sheet fact selected by SEC instant frame.</x:v>
      </x:c>
    </x:row>
    <x:row r="67">
      <x:c r="A67" t="str">
        <x:v>FY2023</x:v>
      </x:c>
      <x:c r="B67" t="str">
        <x:v>accounts_payable</x:v>
      </x:c>
      <x:c r="C67" t="n">
        <x:v>190392000</x:v>
      </x:c>
      <x:c r="D67" t="str">
        <x:v>USD</x:v>
      </x:c>
      <x:c r="E67" t="str">
        <x:v>raw/filings/yeti-2025-02-24-10-k-yeti-20241228.htm</x:v>
      </x:c>
      <x:c r="F67" t="str">
        <x:v>us-gaap:AccountsPayableCurrent</x:v>
      </x:c>
      <x:c r="G67" t="str">
        <x:v>0001670592-25-000008</x:v>
      </x:c>
      <x:c r="H67" t="str">
        <x:v>CY2023Q4I</x:v>
      </x:c>
      <x:c r="I67" t="str">
        <x:v>2025-02-24</x:v>
      </x:c>
      <x:c r="J67" t="str">
        <x:v>Fiscal year-end balance sheet fact selected by SEC instant frame.</x:v>
      </x:c>
    </x:row>
    <x:row r="68">
      <x:c r="A68" t="str">
        <x:v>FY2023</x:v>
      </x:c>
      <x:c r="B68" t="str">
        <x:v>current_liabilities</x:v>
      </x:c>
      <x:c r="C68" t="n">
        <x:v>398353000</x:v>
      </x:c>
      <x:c r="D68" t="str">
        <x:v>USD</x:v>
      </x:c>
      <x:c r="E68" t="str">
        <x:v>raw/filings/yeti-2025-02-24-10-k-yeti-20241228.htm</x:v>
      </x:c>
      <x:c r="F68" t="str">
        <x:v>us-gaap:LiabilitiesCurrent</x:v>
      </x:c>
      <x:c r="G68" t="str">
        <x:v>0001670592-25-000008</x:v>
      </x:c>
      <x:c r="H68" t="str">
        <x:v>CY2023Q4I</x:v>
      </x:c>
      <x:c r="I68" t="str">
        <x:v>2025-02-24</x:v>
      </x:c>
      <x:c r="J68" t="str">
        <x:v>Fiscal year-end balance sheet fact selected by SEC instant frame.</x:v>
      </x:c>
    </x:row>
    <x:row r="69">
      <x:c r="A69" t="str">
        <x:v>FY2023</x:v>
      </x:c>
      <x:c r="B69" t="str">
        <x:v>current_debt</x:v>
      </x:c>
      <x:c r="C69" t="n">
        <x:v>4219000</x:v>
      </x:c>
      <x:c r="D69" t="str">
        <x:v>USD</x:v>
      </x:c>
      <x:c r="E69" t="str">
        <x:v>raw/filings/yeti-2025-02-24-10-k-yeti-20241228.htm</x:v>
      </x:c>
      <x:c r="F69" t="str">
        <x:v>us-gaap:LongTermDebtCurrent</x:v>
      </x:c>
      <x:c r="G69" t="str">
        <x:v>0001670592-25-000008</x:v>
      </x:c>
      <x:c r="H69" t="str">
        <x:v>CY2023Q4I</x:v>
      </x:c>
      <x:c r="I69" t="str">
        <x:v>2025-02-24</x:v>
      </x:c>
      <x:c r="J69" t="str">
        <x:v>Fiscal year-end balance sheet fact selected by SEC instant frame.</x:v>
      </x:c>
    </x:row>
    <x:row r="70">
      <x:c r="A70" t="str">
        <x:v>FY2023</x:v>
      </x:c>
      <x:c r="B70" t="str">
        <x:v>long_term_debt</x:v>
      </x:c>
      <x:c r="C70" t="n">
        <x:v>78645000</x:v>
      </x:c>
      <x:c r="D70" t="str">
        <x:v>USD</x:v>
      </x:c>
      <x:c r="E70" t="str">
        <x:v>raw/filings/yeti-2025-02-24-10-k-yeti-20241228.htm</x:v>
      </x:c>
      <x:c r="F70" t="str">
        <x:v>us-gaap:LongTermDebtNoncurrent</x:v>
      </x:c>
      <x:c r="G70" t="str">
        <x:v>0001670592-25-000008</x:v>
      </x:c>
      <x:c r="H70" t="str">
        <x:v>CY2023Q4I</x:v>
      </x:c>
      <x:c r="I70" t="str">
        <x:v>2025-02-24</x:v>
      </x:c>
      <x:c r="J70" t="str">
        <x:v>Fiscal year-end balance sheet fact selected by SEC instant frame.</x:v>
      </x:c>
    </x:row>
    <x:row r="71">
      <x:c r="A71" t="str">
        <x:v>FY2023</x:v>
      </x:c>
      <x:c r="B71" t="str">
        <x:v>operating_lease_liabilities</x:v>
      </x:c>
      <x:c r="C71" t="n">
        <x:v>90889000</x:v>
      </x:c>
      <x:c r="D71" t="str">
        <x:v>USD</x:v>
      </x:c>
      <x:c r="E71" t="str">
        <x:v>raw/filings/yeti-2024-02-26-10-k-yeti-20231230.htm</x:v>
      </x:c>
      <x:c r="F71" t="str">
        <x:v>us-gaap:OperatingLeaseLiability</x:v>
      </x:c>
      <x:c r="G71" t="str">
        <x:v>0001670592-24-000007</x:v>
      </x:c>
      <x:c r="H71" t="str">
        <x:v>CY2023Q4I</x:v>
      </x:c>
      <x:c r="I71" t="str">
        <x:v>2024-02-26</x:v>
      </x:c>
      <x:c r="J71" t="str">
        <x:v>Fiscal year-end balance sheet fact selected by SEC instant frame.</x:v>
      </x:c>
    </x:row>
    <x:row r="72">
      <x:c r="A72" t="str">
        <x:v>FY2023</x:v>
      </x:c>
      <x:c r="B72" t="str">
        <x:v>total_liabilities</x:v>
      </x:c>
      <x:c r="C72" t="n">
        <x:v>573582000</x:v>
      </x:c>
      <x:c r="D72" t="str">
        <x:v>USD</x:v>
      </x:c>
      <x:c r="E72" t="str">
        <x:v>raw/filings/yeti-2025-02-24-10-k-yeti-20241228.htm</x:v>
      </x:c>
      <x:c r="F72" t="str">
        <x:v>us-gaap:Liabilities</x:v>
      </x:c>
      <x:c r="G72" t="str">
        <x:v>0001670592-25-000008</x:v>
      </x:c>
      <x:c r="H72" t="str">
        <x:v>CY2023Q4I</x:v>
      </x:c>
      <x:c r="I72" t="str">
        <x:v>2025-02-24</x:v>
      </x:c>
      <x:c r="J72" t="str">
        <x:v>Fiscal year-end balance sheet fact selected by SEC instant frame.</x:v>
      </x:c>
    </x:row>
    <x:row r="73">
      <x:c r="A73" t="str">
        <x:v>FY2023</x:v>
      </x:c>
      <x:c r="B73" t="str">
        <x:v>stockholders_equity</x:v>
      </x:c>
      <x:c r="C73" t="n">
        <x:v>723610000</x:v>
      </x:c>
      <x:c r="D73" t="str">
        <x:v>USD</x:v>
      </x:c>
      <x:c r="E73" t="str">
        <x:v>raw/filings/yeti-2026-02-27-10-k-yeti-20260103.htm</x:v>
      </x:c>
      <x:c r="F73" t="str">
        <x:v>us-gaap:StockholdersEquity</x:v>
      </x:c>
      <x:c r="G73" t="str">
        <x:v>0001670592-26-000013</x:v>
      </x:c>
      <x:c r="H73" t="str">
        <x:v>CY2023Q4I</x:v>
      </x:c>
      <x:c r="I73" t="str">
        <x:v>2026-02-27</x:v>
      </x:c>
      <x:c r="J73" t="str">
        <x:v>Fiscal year-end balance sheet fact selected by SEC instant frame.</x:v>
      </x:c>
    </x:row>
    <x:row r="74">
      <x:c r="A74" t="str">
        <x:v>FY2024</x:v>
      </x:c>
      <x:c r="B74" t="str">
        <x:v>revenue</x:v>
      </x:c>
      <x:c r="C74" t="n">
        <x:v>1829873000</x:v>
      </x:c>
      <x:c r="D74" t="str">
        <x:v>USD</x:v>
      </x:c>
      <x:c r="E74" t="str">
        <x:v>raw/filings/yeti-2026-02-27-10-k-yeti-20260103.htm</x:v>
      </x:c>
      <x:c r="F74" t="str">
        <x:v>us-gaap:RevenueFromContractWithCustomerExcludingAssessedTax</x:v>
      </x:c>
      <x:c r="G74" t="str">
        <x:v>0001670592-26-000013</x:v>
      </x:c>
      <x:c r="H74" t="str">
        <x:v>CY2024</x:v>
      </x:c>
      <x:c r="I74" t="str">
        <x:v>2026-02-27</x:v>
      </x:c>
      <x:c r="J74" t="str">
        <x:v>Annual 10-K fact selected by SEC frame/fiscal year.</x:v>
      </x:c>
    </x:row>
    <x:row r="75">
      <x:c r="A75" t="str">
        <x:v>FY2024</x:v>
      </x:c>
      <x:c r="B75" t="str">
        <x:v>cogs</x:v>
      </x:c>
      <x:c r="C75" t="n">
        <x:v>766589000</x:v>
      </x:c>
      <x:c r="D75" t="str">
        <x:v>USD</x:v>
      </x:c>
      <x:c r="E75" t="str">
        <x:v>raw/filings/yeti-2026-02-27-10-k-yeti-20260103.htm</x:v>
      </x:c>
      <x:c r="F75" t="str">
        <x:v>us-gaap:CostOfRevenue</x:v>
      </x:c>
      <x:c r="G75" t="str">
        <x:v>0001670592-26-000013</x:v>
      </x:c>
      <x:c r="H75" t="str">
        <x:v>CY2024</x:v>
      </x:c>
      <x:c r="I75" t="str">
        <x:v>2026-02-27</x:v>
      </x:c>
      <x:c r="J75" t="str">
        <x:v>Annual 10-K fact selected by SEC frame/fiscal year.</x:v>
      </x:c>
    </x:row>
    <x:row r="76">
      <x:c r="A76" t="str">
        <x:v>FY2024</x:v>
      </x:c>
      <x:c r="B76" t="str">
        <x:v>gross_profit</x:v>
      </x:c>
      <x:c r="C76" t="n">
        <x:v>1063284000</x:v>
      </x:c>
      <x:c r="D76" t="str">
        <x:v>USD</x:v>
      </x:c>
      <x:c r="E76" t="str">
        <x:v>raw/filings/yeti-2026-02-27-10-k-yeti-20260103.htm</x:v>
      </x:c>
      <x:c r="F76" t="str">
        <x:v>us-gaap:GrossProfit</x:v>
      </x:c>
      <x:c r="G76" t="str">
        <x:v>0001670592-26-000013</x:v>
      </x:c>
      <x:c r="H76" t="str">
        <x:v>CY2024</x:v>
      </x:c>
      <x:c r="I76" t="str">
        <x:v>2026-02-27</x:v>
      </x:c>
      <x:c r="J76" t="str">
        <x:v>Annual 10-K fact selected by SEC frame/fiscal year.</x:v>
      </x:c>
    </x:row>
    <x:row r="77">
      <x:c r="A77" t="str">
        <x:v>FY2024</x:v>
      </x:c>
      <x:c r="B77" t="str">
        <x:v>sga</x:v>
      </x:c>
      <x:c r="C77" t="n">
        <x:v>817908000</x:v>
      </x:c>
      <x:c r="D77" t="str">
        <x:v>USD</x:v>
      </x:c>
      <x:c r="E77" t="str">
        <x:v>raw/filings/yeti-2026-02-27-10-k-yeti-20260103.htm</x:v>
      </x:c>
      <x:c r="F77" t="str">
        <x:v>us-gaap:SellingGeneralAndAdministrativeExpense</x:v>
      </x:c>
      <x:c r="G77" t="str">
        <x:v>0001670592-26-000013</x:v>
      </x:c>
      <x:c r="H77" t="str">
        <x:v>CY2024</x:v>
      </x:c>
      <x:c r="I77" t="str">
        <x:v>2026-02-27</x:v>
      </x:c>
      <x:c r="J77" t="str">
        <x:v>Annual 10-K fact selected by SEC frame/fiscal year.</x:v>
      </x:c>
    </x:row>
    <x:row r="78">
      <x:c r="A78" t="str">
        <x:v>FY2024</x:v>
      </x:c>
      <x:c r="B78" t="str">
        <x:v>operating_income</x:v>
      </x:c>
      <x:c r="C78" t="n">
        <x:v>245376000</x:v>
      </x:c>
      <x:c r="D78" t="str">
        <x:v>USD</x:v>
      </x:c>
      <x:c r="E78" t="str">
        <x:v>raw/filings/yeti-2026-02-27-10-k-yeti-20260103.htm</x:v>
      </x:c>
      <x:c r="F78" t="str">
        <x:v>us-gaap:OperatingIncomeLoss</x:v>
      </x:c>
      <x:c r="G78" t="str">
        <x:v>0001670592-26-000013</x:v>
      </x:c>
      <x:c r="H78" t="str">
        <x:v>CY2024</x:v>
      </x:c>
      <x:c r="I78" t="str">
        <x:v>2026-02-27</x:v>
      </x:c>
      <x:c r="J78" t="str">
        <x:v>Annual 10-K fact selected by SEC frame/fiscal year.</x:v>
      </x:c>
    </x:row>
    <x:row r="79">
      <x:c r="A79" t="str">
        <x:v>FY2024</x:v>
      </x:c>
      <x:c r="B79" t="str">
        <x:v>pretax_income</x:v>
      </x:c>
      <x:c r="C79" t="n">
        <x:v>232848000</x:v>
      </x:c>
      <x:c r="D79" t="str">
        <x:v>USD</x:v>
      </x:c>
      <x:c r="E79" t="str">
        <x:v>raw/filings/yeti-2026-02-27-10-k-yeti-20260103.htm</x:v>
      </x:c>
      <x:c r="F79" t="str">
        <x:v>us-gaap:IncomeLossFromContinuingOperationsBeforeIncomeTaxesExtraordinaryItemsNoncontrollingInterest</x:v>
      </x:c>
      <x:c r="G79" t="str">
        <x:v>0001670592-26-000013</x:v>
      </x:c>
      <x:c r="H79" t="str">
        <x:v>CY2024</x:v>
      </x:c>
      <x:c r="I79" t="str">
        <x:v>2026-02-27</x:v>
      </x:c>
      <x:c r="J79" t="str">
        <x:v>Annual 10-K fact selected by SEC frame/fiscal year.</x:v>
      </x:c>
    </x:row>
    <x:row r="80">
      <x:c r="A80" t="str">
        <x:v>FY2024</x:v>
      </x:c>
      <x:c r="B80" t="str">
        <x:v>income_tax</x:v>
      </x:c>
      <x:c r="C80" t="n">
        <x:v>57159000</x:v>
      </x:c>
      <x:c r="D80" t="str">
        <x:v>USD</x:v>
      </x:c>
      <x:c r="E80" t="str">
        <x:v>raw/filings/yeti-2026-02-27-10-k-yeti-20260103.htm</x:v>
      </x:c>
      <x:c r="F80" t="str">
        <x:v>us-gaap:IncomeTaxExpenseBenefit</x:v>
      </x:c>
      <x:c r="G80" t="str">
        <x:v>0001670592-26-000013</x:v>
      </x:c>
      <x:c r="H80" t="str">
        <x:v>CY2024</x:v>
      </x:c>
      <x:c r="I80" t="str">
        <x:v>2026-02-27</x:v>
      </x:c>
      <x:c r="J80" t="str">
        <x:v>Annual 10-K fact selected by SEC frame/fiscal year.</x:v>
      </x:c>
    </x:row>
    <x:row r="81">
      <x:c r="A81" t="str">
        <x:v>FY2024</x:v>
      </x:c>
      <x:c r="B81" t="str">
        <x:v>net_income</x:v>
      </x:c>
      <x:c r="C81" t="n">
        <x:v>175689000</x:v>
      </x:c>
      <x:c r="D81" t="str">
        <x:v>USD</x:v>
      </x:c>
      <x:c r="E81" t="str">
        <x:v>raw/filings/yeti-2026-02-27-10-k-yeti-20260103.htm</x:v>
      </x:c>
      <x:c r="F81" t="str">
        <x:v>us-gaap:NetIncomeLoss</x:v>
      </x:c>
      <x:c r="G81" t="str">
        <x:v>0001670592-26-000013</x:v>
      </x:c>
      <x:c r="H81" t="str">
        <x:v>CY2024</x:v>
      </x:c>
      <x:c r="I81" t="str">
        <x:v>2026-02-27</x:v>
      </x:c>
      <x:c r="J81" t="str">
        <x:v>Annual 10-K fact selected by SEC frame/fiscal year.</x:v>
      </x:c>
    </x:row>
    <x:row r="82">
      <x:c r="A82" t="str">
        <x:v>FY2024</x:v>
      </x:c>
      <x:c r="B82" t="str">
        <x:v>diluted_eps</x:v>
      </x:c>
      <x:c r="C82" t="n">
        <x:v>2.05</x:v>
      </x:c>
      <x:c r="D82" t="str">
        <x:v>USD/shares</x:v>
      </x:c>
      <x:c r="E82" t="str">
        <x:v>raw/filings/yeti-2026-02-27-10-k-yeti-20260103.htm</x:v>
      </x:c>
      <x:c r="F82" t="str">
        <x:v>us-gaap:EarningsPerShareDiluted</x:v>
      </x:c>
      <x:c r="G82" t="str">
        <x:v>0001670592-26-000013</x:v>
      </x:c>
      <x:c r="H82" t="str">
        <x:v>CY2024</x:v>
      </x:c>
      <x:c r="I82" t="str">
        <x:v>2026-02-27</x:v>
      </x:c>
      <x:c r="J82" t="str">
        <x:v>Annual 10-K fact selected by SEC frame/fiscal year.</x:v>
      </x:c>
    </x:row>
    <x:row r="83">
      <x:c r="A83" t="str">
        <x:v>FY2024</x:v>
      </x:c>
      <x:c r="B83" t="str">
        <x:v>diluted_shares</x:v>
      </x:c>
      <x:c r="C83" t="n">
        <x:v>85755000</x:v>
      </x:c>
      <x:c r="D83" t="str">
        <x:v>shares</x:v>
      </x:c>
      <x:c r="E83" t="str">
        <x:v>raw/filings/yeti-2026-02-27-10-k-yeti-20260103.htm</x:v>
      </x:c>
      <x:c r="F83" t="str">
        <x:v>us-gaap:WeightedAverageNumberOfDilutedSharesOutstanding</x:v>
      </x:c>
      <x:c r="G83" t="str">
        <x:v>0001670592-26-000013</x:v>
      </x:c>
      <x:c r="H83" t="str">
        <x:v>CY2024</x:v>
      </x:c>
      <x:c r="I83" t="str">
        <x:v>2026-02-27</x:v>
      </x:c>
      <x:c r="J83" t="str">
        <x:v>Annual 10-K fact selected by SEC frame/fiscal year.</x:v>
      </x:c>
    </x:row>
    <x:row r="84">
      <x:c r="A84" t="str">
        <x:v>FY2024</x:v>
      </x:c>
      <x:c r="B84" t="str">
        <x:v>operating_cash_flow</x:v>
      </x:c>
      <x:c r="C84" t="n">
        <x:v>261386000</x:v>
      </x:c>
      <x:c r="D84" t="str">
        <x:v>USD</x:v>
      </x:c>
      <x:c r="E84" t="str">
        <x:v>raw/filings/yeti-2026-02-27-10-k-yeti-20260103.htm</x:v>
      </x:c>
      <x:c r="F84" t="str">
        <x:v>us-gaap:NetCashProvidedByUsedInOperatingActivities</x:v>
      </x:c>
      <x:c r="G84" t="str">
        <x:v>0001670592-26-000013</x:v>
      </x:c>
      <x:c r="H84" t="str">
        <x:v>CY2024</x:v>
      </x:c>
      <x:c r="I84" t="str">
        <x:v>2026-02-27</x:v>
      </x:c>
      <x:c r="J84" t="str">
        <x:v>Annual 10-K fact selected by SEC frame/fiscal year.</x:v>
      </x:c>
    </x:row>
    <x:row r="85">
      <x:c r="A85" t="str">
        <x:v>FY2024</x:v>
      </x:c>
      <x:c r="B85" t="str">
        <x:v>capex</x:v>
      </x:c>
      <x:c r="C85" t="n">
        <x:v>41832000</x:v>
      </x:c>
      <x:c r="D85" t="str">
        <x:v>USD</x:v>
      </x:c>
      <x:c r="E85" t="str">
        <x:v>raw/filings/yeti-2026-02-27-10-k-yeti-20260103.htm</x:v>
      </x:c>
      <x:c r="F85" t="str">
        <x:v>us-gaap:PaymentsToAcquirePropertyPlantAndEquipment</x:v>
      </x:c>
      <x:c r="G85" t="str">
        <x:v>0001670592-26-000013</x:v>
      </x:c>
      <x:c r="H85" t="str">
        <x:v>CY2024</x:v>
      </x:c>
      <x:c r="I85" t="str">
        <x:v>2026-02-27</x:v>
      </x:c>
      <x:c r="J85" t="str">
        <x:v>Annual 10-K fact selected by SEC frame/fiscal year.</x:v>
      </x:c>
    </x:row>
    <x:row r="86">
      <x:c r="A86" t="str">
        <x:v>FY2024</x:v>
      </x:c>
      <x:c r="B86" t="str">
        <x:v>depreciation_amortization</x:v>
      </x:c>
      <x:c r="C86" t="n">
        <x:v>48132000</x:v>
      </x:c>
      <x:c r="D86" t="str">
        <x:v>USD</x:v>
      </x:c>
      <x:c r="E86" t="str">
        <x:v>raw/filings/yeti-2026-02-27-10-k-yeti-20260103.htm</x:v>
      </x:c>
      <x:c r="F86" t="str">
        <x:v>us-gaap:DepreciationDepletionAndAmortization</x:v>
      </x:c>
      <x:c r="G86" t="str">
        <x:v>0001670592-26-000013</x:v>
      </x:c>
      <x:c r="H86" t="str">
        <x:v>CY2024</x:v>
      </x:c>
      <x:c r="I86" t="str">
        <x:v>2026-02-27</x:v>
      </x:c>
      <x:c r="J86" t="str">
        <x:v>Annual 10-K fact selected by SEC frame/fiscal year.</x:v>
      </x:c>
    </x:row>
    <x:row r="87">
      <x:c r="A87" t="str">
        <x:v>FY2024</x:v>
      </x:c>
      <x:c r="B87" t="str">
        <x:v>stock_comp</x:v>
      </x:c>
      <x:c r="C87" t="n">
        <x:v>40719000</x:v>
      </x:c>
      <x:c r="D87" t="str">
        <x:v>USD</x:v>
      </x:c>
      <x:c r="E87" t="str">
        <x:v>raw/filings/yeti-2026-02-27-10-k-yeti-20260103.htm</x:v>
      </x:c>
      <x:c r="F87" t="str">
        <x:v>us-gaap:ShareBasedCompensation</x:v>
      </x:c>
      <x:c r="G87" t="str">
        <x:v>0001670592-26-000013</x:v>
      </x:c>
      <x:c r="H87" t="str">
        <x:v>CY2024</x:v>
      </x:c>
      <x:c r="I87" t="str">
        <x:v>2026-02-27</x:v>
      </x:c>
      <x:c r="J87" t="str">
        <x:v>Annual 10-K fact selected by SEC frame/fiscal year.</x:v>
      </x:c>
    </x:row>
    <x:row r="88">
      <x:c r="A88" t="str">
        <x:v>FY2024</x:v>
      </x:c>
      <x:c r="B88" t="str">
        <x:v>share_repurchases</x:v>
      </x:c>
      <x:c r="C88" t="n">
        <x:v>200000000</x:v>
      </x:c>
      <x:c r="D88" t="str">
        <x:v>USD</x:v>
      </x:c>
      <x:c r="E88" t="str">
        <x:v>raw/filings/yeti-2026-02-27-10-k-yeti-20260103.htm</x:v>
      </x:c>
      <x:c r="F88" t="str">
        <x:v>us-gaap:PaymentsForRepurchaseOfCommonStock</x:v>
      </x:c>
      <x:c r="G88" t="str">
        <x:v>0001670592-26-000013</x:v>
      </x:c>
      <x:c r="H88" t="str">
        <x:v>CY2024</x:v>
      </x:c>
      <x:c r="I88" t="str">
        <x:v>2026-02-27</x:v>
      </x:c>
      <x:c r="J88" t="str">
        <x:v>Annual 10-K fact selected by SEC frame/fiscal year.</x:v>
      </x:c>
    </x:row>
    <x:row r="89">
      <x:c r="A89" t="str">
        <x:v>FY2024</x:v>
      </x:c>
      <x:c r="B89" t="str">
        <x:v>cash</x:v>
      </x:c>
      <x:c r="C89" t="n">
        <x:v>358795000</x:v>
      </x:c>
      <x:c r="D89" t="str">
        <x:v>USD</x:v>
      </x:c>
      <x:c r="E89" t="str">
        <x:v>raw/filings/yeti-2026-02-27-10-k-yeti-20260103.htm</x:v>
      </x:c>
      <x:c r="F89" t="str">
        <x:v>us-gaap:CashCashEquivalentsRestrictedCashAndRestrictedCashEquivalents</x:v>
      </x:c>
      <x:c r="G89" t="str">
        <x:v>0001670592-26-000013</x:v>
      </x:c>
      <x:c r="H89" t="str">
        <x:v>CY2024Q4I</x:v>
      </x:c>
      <x:c r="I89" t="str">
        <x:v>2026-02-27</x:v>
      </x:c>
      <x:c r="J89" t="str">
        <x:v>Fiscal year-end balance sheet fact selected by SEC instant frame.</x:v>
      </x:c>
    </x:row>
    <x:row r="90">
      <x:c r="A90" t="str">
        <x:v>FY2024</x:v>
      </x:c>
      <x:c r="B90" t="str">
        <x:v>accounts_receivable</x:v>
      </x:c>
      <x:c r="C90" t="n">
        <x:v>120190000</x:v>
      </x:c>
      <x:c r="D90" t="str">
        <x:v>USD</x:v>
      </x:c>
      <x:c r="E90" t="str">
        <x:v>raw/filings/yeti-2026-02-27-10-k-yeti-20260103.htm</x:v>
      </x:c>
      <x:c r="F90" t="str">
        <x:v>us-gaap:AccountsReceivableNetCurrent</x:v>
      </x:c>
      <x:c r="G90" t="str">
        <x:v>0001670592-26-000013</x:v>
      </x:c>
      <x:c r="H90" t="str">
        <x:v>CY2024Q4I</x:v>
      </x:c>
      <x:c r="I90" t="str">
        <x:v>2026-02-27</x:v>
      </x:c>
      <x:c r="J90" t="str">
        <x:v>Fiscal year-end balance sheet fact selected by SEC instant frame.</x:v>
      </x:c>
    </x:row>
    <x:row r="91">
      <x:c r="A91" t="str">
        <x:v>FY2024</x:v>
      </x:c>
      <x:c r="B91" t="str">
        <x:v>inventory</x:v>
      </x:c>
      <x:c r="C91" t="n">
        <x:v>310058000</x:v>
      </x:c>
      <x:c r="D91" t="str">
        <x:v>USD</x:v>
      </x:c>
      <x:c r="E91" t="str">
        <x:v>raw/filings/yeti-2026-02-27-10-k-yeti-20260103.htm</x:v>
      </x:c>
      <x:c r="F91" t="str">
        <x:v>us-gaap:InventoryNet</x:v>
      </x:c>
      <x:c r="G91" t="str">
        <x:v>0001670592-26-000013</x:v>
      </x:c>
      <x:c r="H91" t="str">
        <x:v>CY2024Q4I</x:v>
      </x:c>
      <x:c r="I91" t="str">
        <x:v>2026-02-27</x:v>
      </x:c>
      <x:c r="J91" t="str">
        <x:v>Fiscal year-end balance sheet fact selected by SEC instant frame.</x:v>
      </x:c>
    </x:row>
    <x:row r="92">
      <x:c r="A92" t="str">
        <x:v>FY2024</x:v>
      </x:c>
      <x:c r="B92" t="str">
        <x:v>prepaids_other_current_assets</x:v>
      </x:c>
      <x:c r="C92" t="n">
        <x:v>37723000</x:v>
      </x:c>
      <x:c r="D92" t="str">
        <x:v>USD</x:v>
      </x:c>
      <x:c r="E92" t="str">
        <x:v>raw/filings/yeti-2026-02-27-10-k-yeti-20260103.htm</x:v>
      </x:c>
      <x:c r="F92" t="str">
        <x:v>us-gaap:PrepaidExpenseAndOtherAssetsCurrent</x:v>
      </x:c>
      <x:c r="G92" t="str">
        <x:v>0001670592-26-000013</x:v>
      </x:c>
      <x:c r="H92" t="str">
        <x:v>CY2024Q4I</x:v>
      </x:c>
      <x:c r="I92" t="str">
        <x:v>2026-02-27</x:v>
      </x:c>
      <x:c r="J92" t="str">
        <x:v>Fiscal year-end balance sheet fact selected by SEC instant frame.</x:v>
      </x:c>
    </x:row>
    <x:row r="93">
      <x:c r="A93" t="str">
        <x:v>FY2024</x:v>
      </x:c>
      <x:c r="B93" t="str">
        <x:v>current_assets</x:v>
      </x:c>
      <x:c r="C93" t="n">
        <x:v>826766000</x:v>
      </x:c>
      <x:c r="D93" t="str">
        <x:v>USD</x:v>
      </x:c>
      <x:c r="E93" t="str">
        <x:v>raw/filings/yeti-2026-02-27-10-k-yeti-20260103.htm</x:v>
      </x:c>
      <x:c r="F93" t="str">
        <x:v>us-gaap:AssetsCurrent</x:v>
      </x:c>
      <x:c r="G93" t="str">
        <x:v>0001670592-26-000013</x:v>
      </x:c>
      <x:c r="H93" t="str">
        <x:v>CY2024Q4I</x:v>
      </x:c>
      <x:c r="I93" t="str">
        <x:v>2026-02-27</x:v>
      </x:c>
      <x:c r="J93" t="str">
        <x:v>Fiscal year-end balance sheet fact selected by SEC instant frame.</x:v>
      </x:c>
    </x:row>
    <x:row r="94">
      <x:c r="A94" t="str">
        <x:v>FY2024</x:v>
      </x:c>
      <x:c r="B94" t="str">
        <x:v>ppe_net</x:v>
      </x:c>
      <x:c r="C94" t="n">
        <x:v>126270000</x:v>
      </x:c>
      <x:c r="D94" t="str">
        <x:v>USD</x:v>
      </x:c>
      <x:c r="E94" t="str">
        <x:v>raw/filings/yeti-2026-02-27-10-k-yeti-20260103.htm</x:v>
      </x:c>
      <x:c r="F94" t="str">
        <x:v>us-gaap:PropertyPlantAndEquipmentAndFinanceLeaseRightOfUseAssetAfterAccumulatedDepreciationAndAmortization</x:v>
      </x:c>
      <x:c r="G94" t="str">
        <x:v>0001670592-26-000013</x:v>
      </x:c>
      <x:c r="H94" t="str">
        <x:v>CY2024Q4I</x:v>
      </x:c>
      <x:c r="I94" t="str">
        <x:v>2026-02-27</x:v>
      </x:c>
      <x:c r="J94" t="str">
        <x:v>Fiscal year-end balance sheet fact selected by SEC instant frame.</x:v>
      </x:c>
    </x:row>
    <x:row r="95">
      <x:c r="A95" t="str">
        <x:v>FY2024</x:v>
      </x:c>
      <x:c r="B95" t="str">
        <x:v>operating_lease_assets</x:v>
      </x:c>
      <x:c r="C95" t="n">
        <x:v>78279000</x:v>
      </x:c>
      <x:c r="D95" t="str">
        <x:v>USD</x:v>
      </x:c>
      <x:c r="E95" t="str">
        <x:v>raw/filings/yeti-2026-02-27-10-k-yeti-20260103.htm</x:v>
      </x:c>
      <x:c r="F95" t="str">
        <x:v>us-gaap:OperatingLeaseRightOfUseAsset</x:v>
      </x:c>
      <x:c r="G95" t="str">
        <x:v>0001670592-26-000013</x:v>
      </x:c>
      <x:c r="H95" t="str">
        <x:v>CY2024Q4I</x:v>
      </x:c>
      <x:c r="I95" t="str">
        <x:v>2026-02-27</x:v>
      </x:c>
      <x:c r="J95" t="str">
        <x:v>Fiscal year-end balance sheet fact selected by SEC instant frame.</x:v>
      </x:c>
    </x:row>
    <x:row r="96">
      <x:c r="A96" t="str">
        <x:v>FY2024</x:v>
      </x:c>
      <x:c r="B96" t="str">
        <x:v>goodwill</x:v>
      </x:c>
      <x:c r="C96" t="n">
        <x:v>72557000</x:v>
      </x:c>
      <x:c r="D96" t="str">
        <x:v>USD</x:v>
      </x:c>
      <x:c r="E96" t="str">
        <x:v>raw/filings/yeti-2026-02-27-10-k-yeti-20260103.htm</x:v>
      </x:c>
      <x:c r="F96" t="str">
        <x:v>us-gaap:Goodwill</x:v>
      </x:c>
      <x:c r="G96" t="str">
        <x:v>0001670592-26-000013</x:v>
      </x:c>
      <x:c r="H96" t="str">
        <x:v>CY2024Q4I</x:v>
      </x:c>
      <x:c r="I96" t="str">
        <x:v>2026-02-27</x:v>
      </x:c>
      <x:c r="J96" t="str">
        <x:v>Fiscal year-end balance sheet fact selected by SEC instant frame.</x:v>
      </x:c>
    </x:row>
    <x:row r="97">
      <x:c r="A97" t="str">
        <x:v>FY2024</x:v>
      </x:c>
      <x:c r="B97" t="str">
        <x:v>intangible_assets</x:v>
      </x:c>
      <x:c r="C97" t="n">
        <x:v>172023000</x:v>
      </x:c>
      <x:c r="D97" t="str">
        <x:v>USD</x:v>
      </x:c>
      <x:c r="E97" t="str">
        <x:v>raw/filings/yeti-2026-02-27-10-k-yeti-20260103.htm</x:v>
      </x:c>
      <x:c r="F97" t="str">
        <x:v>us-gaap:IntangibleAssetsNetExcludingGoodwill</x:v>
      </x:c>
      <x:c r="G97" t="str">
        <x:v>0001670592-26-000013</x:v>
      </x:c>
      <x:c r="H97" t="str">
        <x:v>CY2024Q4I</x:v>
      </x:c>
      <x:c r="I97" t="str">
        <x:v>2026-02-27</x:v>
      </x:c>
      <x:c r="J97" t="str">
        <x:v>Fiscal year-end balance sheet fact selected by SEC instant frame.</x:v>
      </x:c>
    </x:row>
    <x:row r="98">
      <x:c r="A98" t="str">
        <x:v>FY2024</x:v>
      </x:c>
      <x:c r="B98" t="str">
        <x:v>total_assets</x:v>
      </x:c>
      <x:c r="C98" t="n">
        <x:v>1286120000</x:v>
      </x:c>
      <x:c r="D98" t="str">
        <x:v>USD</x:v>
      </x:c>
      <x:c r="E98" t="str">
        <x:v>raw/filings/yeti-2026-02-27-10-k-yeti-20260103.htm</x:v>
      </x:c>
      <x:c r="F98" t="str">
        <x:v>us-gaap:Assets</x:v>
      </x:c>
      <x:c r="G98" t="str">
        <x:v>0001670592-26-000013</x:v>
      </x:c>
      <x:c r="H98" t="str">
        <x:v>CY2024Q4I</x:v>
      </x:c>
      <x:c r="I98" t="str">
        <x:v>2026-02-27</x:v>
      </x:c>
      <x:c r="J98" t="str">
        <x:v>Fiscal year-end balance sheet fact selected by SEC instant frame.</x:v>
      </x:c>
    </x:row>
    <x:row r="99">
      <x:c r="A99" t="str">
        <x:v>FY2024</x:v>
      </x:c>
      <x:c r="B99" t="str">
        <x:v>accounts_payable</x:v>
      </x:c>
      <x:c r="C99" t="n">
        <x:v>158499000</x:v>
      </x:c>
      <x:c r="D99" t="str">
        <x:v>USD</x:v>
      </x:c>
      <x:c r="E99" t="str">
        <x:v>raw/filings/yeti-2026-02-27-10-k-yeti-20260103.htm</x:v>
      </x:c>
      <x:c r="F99" t="str">
        <x:v>us-gaap:AccountsPayableCurrent</x:v>
      </x:c>
      <x:c r="G99" t="str">
        <x:v>0001670592-26-000013</x:v>
      </x:c>
      <x:c r="H99" t="str">
        <x:v>CY2024Q4I</x:v>
      </x:c>
      <x:c r="I99" t="str">
        <x:v>2026-02-27</x:v>
      </x:c>
      <x:c r="J99" t="str">
        <x:v>Fiscal year-end balance sheet fact selected by SEC instant frame.</x:v>
      </x:c>
    </x:row>
    <x:row r="100">
      <x:c r="A100" t="str">
        <x:v>FY2024</x:v>
      </x:c>
      <x:c r="B100" t="str">
        <x:v>current_liabilities</x:v>
      </x:c>
      <x:c r="C100" t="n">
        <x:v>379504000</x:v>
      </x:c>
      <x:c r="D100" t="str">
        <x:v>USD</x:v>
      </x:c>
      <x:c r="E100" t="str">
        <x:v>raw/filings/yeti-2026-02-27-10-k-yeti-20260103.htm</x:v>
      </x:c>
      <x:c r="F100" t="str">
        <x:v>us-gaap:LiabilitiesCurrent</x:v>
      </x:c>
      <x:c r="G100" t="str">
        <x:v>0001670592-26-000013</x:v>
      </x:c>
      <x:c r="H100" t="str">
        <x:v>CY2024Q4I</x:v>
      </x:c>
      <x:c r="I100" t="str">
        <x:v>2026-02-27</x:v>
      </x:c>
      <x:c r="J100" t="str">
        <x:v>Fiscal year-end balance sheet fact selected by SEC instant frame.</x:v>
      </x:c>
    </x:row>
    <x:row r="101">
      <x:c r="A101" t="str">
        <x:v>FY2024</x:v>
      </x:c>
      <x:c r="B101" t="str">
        <x:v>current_debt</x:v>
      </x:c>
      <x:c r="C101" t="n">
        <x:v>4219000</x:v>
      </x:c>
      <x:c r="D101" t="str">
        <x:v>USD</x:v>
      </x:c>
      <x:c r="E101" t="str">
        <x:v>raw/filings/yeti-2026-02-27-10-k-yeti-20260103.htm</x:v>
      </x:c>
      <x:c r="F101" t="str">
        <x:v>us-gaap:LongTermDebtCurrent</x:v>
      </x:c>
      <x:c r="G101" t="str">
        <x:v>0001670592-26-000013</x:v>
      </x:c>
      <x:c r="H101" t="str">
        <x:v>CY2024Q4I</x:v>
      </x:c>
      <x:c r="I101" t="str">
        <x:v>2026-02-27</x:v>
      </x:c>
      <x:c r="J101" t="str">
        <x:v>Fiscal year-end balance sheet fact selected by SEC instant frame.</x:v>
      </x:c>
    </x:row>
    <x:row r="102">
      <x:c r="A102" t="str">
        <x:v>FY2024</x:v>
      </x:c>
      <x:c r="B102" t="str">
        <x:v>long_term_debt</x:v>
      </x:c>
      <x:c r="C102" t="n">
        <x:v>72821000</x:v>
      </x:c>
      <x:c r="D102" t="str">
        <x:v>USD</x:v>
      </x:c>
      <x:c r="E102" t="str">
        <x:v>raw/filings/yeti-2026-02-27-10-k-yeti-20260103.htm</x:v>
      </x:c>
      <x:c r="F102" t="str">
        <x:v>us-gaap:LongTermDebtNoncurrent</x:v>
      </x:c>
      <x:c r="G102" t="str">
        <x:v>0001670592-26-000013</x:v>
      </x:c>
      <x:c r="H102" t="str">
        <x:v>CY2024Q4I</x:v>
      </x:c>
      <x:c r="I102" t="str">
        <x:v>2026-02-27</x:v>
      </x:c>
      <x:c r="J102" t="str">
        <x:v>Fiscal year-end balance sheet fact selected by SEC instant frame.</x:v>
      </x:c>
    </x:row>
    <x:row r="103">
      <x:c r="A103" t="str">
        <x:v>FY2024</x:v>
      </x:c>
      <x:c r="B103" t="str">
        <x:v>operating_lease_liabilities</x:v>
      </x:c>
      <x:c r="C103" t="n">
        <x:v>93207000</x:v>
      </x:c>
      <x:c r="D103" t="str">
        <x:v>USD</x:v>
      </x:c>
      <x:c r="E103" t="str">
        <x:v>raw/filings/yeti-2025-02-24-10-k-yeti-20241228.htm</x:v>
      </x:c>
      <x:c r="F103" t="str">
        <x:v>us-gaap:OperatingLeaseLiability</x:v>
      </x:c>
      <x:c r="G103" t="str">
        <x:v>0001670592-25-000008</x:v>
      </x:c>
      <x:c r="H103" t="str">
        <x:v>CY2024Q4I</x:v>
      </x:c>
      <x:c r="I103" t="str">
        <x:v>2025-02-24</x:v>
      </x:c>
      <x:c r="J103" t="str">
        <x:v>Fiscal year-end balance sheet fact selected by SEC instant frame.</x:v>
      </x:c>
    </x:row>
    <x:row r="104">
      <x:c r="A104" t="str">
        <x:v>FY2024</x:v>
      </x:c>
      <x:c r="B104" t="str">
        <x:v>total_liabilities</x:v>
      </x:c>
      <x:c r="C104" t="n">
        <x:v>546013000</x:v>
      </x:c>
      <x:c r="D104" t="str">
        <x:v>USD</x:v>
      </x:c>
      <x:c r="E104" t="str">
        <x:v>raw/filings/yeti-2026-02-27-10-k-yeti-20260103.htm</x:v>
      </x:c>
      <x:c r="F104" t="str">
        <x:v>us-gaap:Liabilities</x:v>
      </x:c>
      <x:c r="G104" t="str">
        <x:v>0001670592-26-000013</x:v>
      </x:c>
      <x:c r="H104" t="str">
        <x:v>CY2024Q4I</x:v>
      </x:c>
      <x:c r="I104" t="str">
        <x:v>2026-02-27</x:v>
      </x:c>
      <x:c r="J104" t="str">
        <x:v>Fiscal year-end balance sheet fact selected by SEC instant frame.</x:v>
      </x:c>
    </x:row>
    <x:row r="105">
      <x:c r="A105" t="str">
        <x:v>FY2024</x:v>
      </x:c>
      <x:c r="B105" t="str">
        <x:v>stockholders_equity</x:v>
      </x:c>
      <x:c r="C105" t="n">
        <x:v>740107000</x:v>
      </x:c>
      <x:c r="D105" t="str">
        <x:v>USD</x:v>
      </x:c>
      <x:c r="E105" t="str">
        <x:v>raw/filings/yeti-2026-02-27-10-k-yeti-20260103.htm</x:v>
      </x:c>
      <x:c r="F105" t="str">
        <x:v>us-gaap:StockholdersEquity</x:v>
      </x:c>
      <x:c r="G105" t="str">
        <x:v>0001670592-26-000013</x:v>
      </x:c>
      <x:c r="H105" t="str">
        <x:v>CY2024Q4I</x:v>
      </x:c>
      <x:c r="I105" t="str">
        <x:v>2026-02-27</x:v>
      </x:c>
      <x:c r="J105" t="str">
        <x:v>Fiscal year-end balance sheet fact selected by SEC instant frame.</x:v>
      </x:c>
    </x:row>
    <x:row r="106">
      <x:c r="A106" t="str">
        <x:v>FY2025</x:v>
      </x:c>
      <x:c r="B106" t="str">
        <x:v>revenue</x:v>
      </x:c>
      <x:c r="C106" t="n">
        <x:v>1868494000</x:v>
      </x:c>
      <x:c r="D106" t="str">
        <x:v>USD</x:v>
      </x:c>
      <x:c r="E106" t="str">
        <x:v>raw/filings/yeti-2026-02-27-10-k-yeti-20260103.htm</x:v>
      </x:c>
      <x:c r="F106" t="str">
        <x:v>us-gaap:RevenueFromContractWithCustomerExcludingAssessedTax</x:v>
      </x:c>
      <x:c r="G106" t="str">
        <x:v>0001670592-26-000013</x:v>
      </x:c>
      <x:c r="H106" t="str">
        <x:v>CY2025</x:v>
      </x:c>
      <x:c r="I106" t="str">
        <x:v>2026-02-27</x:v>
      </x:c>
      <x:c r="J106" t="str">
        <x:v>Annual 10-K fact selected by SEC frame/fiscal year.</x:v>
      </x:c>
    </x:row>
    <x:row r="107">
      <x:c r="A107" t="str">
        <x:v>FY2025</x:v>
      </x:c>
      <x:c r="B107" t="str">
        <x:v>cogs</x:v>
      </x:c>
      <x:c r="C107" t="n">
        <x:v>795810000</x:v>
      </x:c>
      <x:c r="D107" t="str">
        <x:v>USD</x:v>
      </x:c>
      <x:c r="E107" t="str">
        <x:v>raw/filings/yeti-2026-02-27-10-k-yeti-20260103.htm</x:v>
      </x:c>
      <x:c r="F107" t="str">
        <x:v>us-gaap:CostOfRevenue</x:v>
      </x:c>
      <x:c r="G107" t="str">
        <x:v>0001670592-26-000013</x:v>
      </x:c>
      <x:c r="H107" t="str">
        <x:v>CY2025</x:v>
      </x:c>
      <x:c r="I107" t="str">
        <x:v>2026-02-27</x:v>
      </x:c>
      <x:c r="J107" t="str">
        <x:v>Annual 10-K fact selected by SEC frame/fiscal year.</x:v>
      </x:c>
    </x:row>
    <x:row r="108">
      <x:c r="A108" t="str">
        <x:v>FY2025</x:v>
      </x:c>
      <x:c r="B108" t="str">
        <x:v>gross_profit</x:v>
      </x:c>
      <x:c r="C108" t="n">
        <x:v>1072684000</x:v>
      </x:c>
      <x:c r="D108" t="str">
        <x:v>USD</x:v>
      </x:c>
      <x:c r="E108" t="str">
        <x:v>raw/filings/yeti-2026-02-27-10-k-yeti-20260103.htm</x:v>
      </x:c>
      <x:c r="F108" t="str">
        <x:v>us-gaap:GrossProfit</x:v>
      </x:c>
      <x:c r="G108" t="str">
        <x:v>0001670592-26-000013</x:v>
      </x:c>
      <x:c r="H108" t="str">
        <x:v>CY2025</x:v>
      </x:c>
      <x:c r="I108" t="str">
        <x:v>2026-02-27</x:v>
      </x:c>
      <x:c r="J108" t="str">
        <x:v>Annual 10-K fact selected by SEC frame/fiscal year.</x:v>
      </x:c>
    </x:row>
    <x:row r="109">
      <x:c r="A109" t="str">
        <x:v>FY2025</x:v>
      </x:c>
      <x:c r="B109" t="str">
        <x:v>sga</x:v>
      </x:c>
      <x:c r="C109" t="n">
        <x:v>859127000</x:v>
      </x:c>
      <x:c r="D109" t="str">
        <x:v>USD</x:v>
      </x:c>
      <x:c r="E109" t="str">
        <x:v>raw/filings/yeti-2026-02-27-10-k-yeti-20260103.htm</x:v>
      </x:c>
      <x:c r="F109" t="str">
        <x:v>us-gaap:SellingGeneralAndAdministrativeExpense</x:v>
      </x:c>
      <x:c r="G109" t="str">
        <x:v>0001670592-26-000013</x:v>
      </x:c>
      <x:c r="H109" t="str">
        <x:v>CY2025</x:v>
      </x:c>
      <x:c r="I109" t="str">
        <x:v>2026-02-27</x:v>
      </x:c>
      <x:c r="J109" t="str">
        <x:v>Annual 10-K fact selected by SEC frame/fiscal year.</x:v>
      </x:c>
    </x:row>
    <x:row r="110">
      <x:c r="A110" t="str">
        <x:v>FY2025</x:v>
      </x:c>
      <x:c r="B110" t="str">
        <x:v>operating_income</x:v>
      </x:c>
      <x:c r="C110" t="n">
        <x:v>213557000</x:v>
      </x:c>
      <x:c r="D110" t="str">
        <x:v>USD</x:v>
      </x:c>
      <x:c r="E110" t="str">
        <x:v>raw/filings/yeti-2026-02-27-10-k-yeti-20260103.htm</x:v>
      </x:c>
      <x:c r="F110" t="str">
        <x:v>us-gaap:OperatingIncomeLoss</x:v>
      </x:c>
      <x:c r="G110" t="str">
        <x:v>0001670592-26-000013</x:v>
      </x:c>
      <x:c r="H110" t="str">
        <x:v>CY2025</x:v>
      </x:c>
      <x:c r="I110" t="str">
        <x:v>2026-02-27</x:v>
      </x:c>
      <x:c r="J110" t="str">
        <x:v>Annual 10-K fact selected by SEC frame/fiscal year.</x:v>
      </x:c>
    </x:row>
    <x:row r="111">
      <x:c r="A111" t="str">
        <x:v>FY2025</x:v>
      </x:c>
      <x:c r="B111" t="str">
        <x:v>pretax_income</x:v>
      </x:c>
      <x:c r="C111" t="n">
        <x:v>220281000</x:v>
      </x:c>
      <x:c r="D111" t="str">
        <x:v>USD</x:v>
      </x:c>
      <x:c r="E111" t="str">
        <x:v>raw/filings/yeti-2026-02-27-10-k-yeti-20260103.htm</x:v>
      </x:c>
      <x:c r="F111" t="str">
        <x:v>us-gaap:IncomeLossFromContinuingOperationsBeforeIncomeTaxesExtraordinaryItemsNoncontrollingInterest</x:v>
      </x:c>
      <x:c r="G111" t="str">
        <x:v>0001670592-26-000013</x:v>
      </x:c>
      <x:c r="H111" t="str">
        <x:v>CY2025</x:v>
      </x:c>
      <x:c r="I111" t="str">
        <x:v>2026-02-27</x:v>
      </x:c>
      <x:c r="J111" t="str">
        <x:v>Annual 10-K fact selected by SEC frame/fiscal year.</x:v>
      </x:c>
    </x:row>
    <x:row r="112">
      <x:c r="A112" t="str">
        <x:v>FY2025</x:v>
      </x:c>
      <x:c r="B112" t="str">
        <x:v>income_tax</x:v>
      </x:c>
      <x:c r="C112" t="n">
        <x:v>54894000</x:v>
      </x:c>
      <x:c r="D112" t="str">
        <x:v>USD</x:v>
      </x:c>
      <x:c r="E112" t="str">
        <x:v>raw/filings/yeti-2026-02-27-10-k-yeti-20260103.htm</x:v>
      </x:c>
      <x:c r="F112" t="str">
        <x:v>us-gaap:IncomeTaxExpenseBenefit</x:v>
      </x:c>
      <x:c r="G112" t="str">
        <x:v>0001670592-26-000013</x:v>
      </x:c>
      <x:c r="H112" t="str">
        <x:v>CY2025</x:v>
      </x:c>
      <x:c r="I112" t="str">
        <x:v>2026-02-27</x:v>
      </x:c>
      <x:c r="J112" t="str">
        <x:v>Annual 10-K fact selected by SEC frame/fiscal year.</x:v>
      </x:c>
    </x:row>
    <x:row r="113">
      <x:c r="A113" t="str">
        <x:v>FY2025</x:v>
      </x:c>
      <x:c r="B113" t="str">
        <x:v>net_income</x:v>
      </x:c>
      <x:c r="C113" t="n">
        <x:v>165387000</x:v>
      </x:c>
      <x:c r="D113" t="str">
        <x:v>USD</x:v>
      </x:c>
      <x:c r="E113" t="str">
        <x:v>raw/filings/yeti-2026-02-27-10-k-yeti-20260103.htm</x:v>
      </x:c>
      <x:c r="F113" t="str">
        <x:v>us-gaap:NetIncomeLoss</x:v>
      </x:c>
      <x:c r="G113" t="str">
        <x:v>0001670592-26-000013</x:v>
      </x:c>
      <x:c r="H113" t="str">
        <x:v>CY2025</x:v>
      </x:c>
      <x:c r="I113" t="str">
        <x:v>2026-02-27</x:v>
      </x:c>
      <x:c r="J113" t="str">
        <x:v>Annual 10-K fact selected by SEC frame/fiscal year.</x:v>
      </x:c>
    </x:row>
    <x:row r="114">
      <x:c r="A114" t="str">
        <x:v>FY2025</x:v>
      </x:c>
      <x:c r="B114" t="str">
        <x:v>diluted_eps</x:v>
      </x:c>
      <x:c r="C114" t="n">
        <x:v>2.03</x:v>
      </x:c>
      <x:c r="D114" t="str">
        <x:v>USD/shares</x:v>
      </x:c>
      <x:c r="E114" t="str">
        <x:v>raw/filings/yeti-2026-02-27-10-k-yeti-20260103.htm</x:v>
      </x:c>
      <x:c r="F114" t="str">
        <x:v>us-gaap:EarningsPerShareDiluted</x:v>
      </x:c>
      <x:c r="G114" t="str">
        <x:v>0001670592-26-000013</x:v>
      </x:c>
      <x:c r="H114" t="str">
        <x:v>CY2025</x:v>
      </x:c>
      <x:c r="I114" t="str">
        <x:v>2026-02-27</x:v>
      </x:c>
      <x:c r="J114" t="str">
        <x:v>Annual 10-K fact selected by SEC frame/fiscal year.</x:v>
      </x:c>
    </x:row>
    <x:row r="115">
      <x:c r="A115" t="str">
        <x:v>FY2025</x:v>
      </x:c>
      <x:c r="B115" t="str">
        <x:v>diluted_shares</x:v>
      </x:c>
      <x:c r="C115" t="n">
        <x:v>81595000</x:v>
      </x:c>
      <x:c r="D115" t="str">
        <x:v>shares</x:v>
      </x:c>
      <x:c r="E115" t="str">
        <x:v>raw/filings/yeti-2026-02-27-10-k-yeti-20260103.htm</x:v>
      </x:c>
      <x:c r="F115" t="str">
        <x:v>us-gaap:WeightedAverageNumberOfDilutedSharesOutstanding</x:v>
      </x:c>
      <x:c r="G115" t="str">
        <x:v>0001670592-26-000013</x:v>
      </x:c>
      <x:c r="H115" t="str">
        <x:v>CY2025</x:v>
      </x:c>
      <x:c r="I115" t="str">
        <x:v>2026-02-27</x:v>
      </x:c>
      <x:c r="J115" t="str">
        <x:v>Annual 10-K fact selected by SEC frame/fiscal year.</x:v>
      </x:c>
    </x:row>
    <x:row r="116">
      <x:c r="A116" t="str">
        <x:v>FY2025</x:v>
      </x:c>
      <x:c r="B116" t="str">
        <x:v>operating_cash_flow</x:v>
      </x:c>
      <x:c r="C116" t="n">
        <x:v>254737000</x:v>
      </x:c>
      <x:c r="D116" t="str">
        <x:v>USD</x:v>
      </x:c>
      <x:c r="E116" t="str">
        <x:v>raw/filings/yeti-2026-02-27-10-k-yeti-20260103.htm</x:v>
      </x:c>
      <x:c r="F116" t="str">
        <x:v>us-gaap:NetCashProvidedByUsedInOperatingActivities</x:v>
      </x:c>
      <x:c r="G116" t="str">
        <x:v>0001670592-26-000013</x:v>
      </x:c>
      <x:c r="H116" t="str">
        <x:v>CY2025</x:v>
      </x:c>
      <x:c r="I116" t="str">
        <x:v>2026-02-27</x:v>
      </x:c>
      <x:c r="J116" t="str">
        <x:v>Annual 10-K fact selected by SEC frame/fiscal year.</x:v>
      </x:c>
    </x:row>
    <x:row r="117">
      <x:c r="A117" t="str">
        <x:v>FY2025</x:v>
      </x:c>
      <x:c r="B117" t="str">
        <x:v>capex</x:v>
      </x:c>
      <x:c r="C117" t="n">
        <x:v>42667000</x:v>
      </x:c>
      <x:c r="D117" t="str">
        <x:v>USD</x:v>
      </x:c>
      <x:c r="E117" t="str">
        <x:v>raw/filings/yeti-2026-02-27-10-k-yeti-20260103.htm</x:v>
      </x:c>
      <x:c r="F117" t="str">
        <x:v>us-gaap:PaymentsToAcquirePropertyPlantAndEquipment</x:v>
      </x:c>
      <x:c r="G117" t="str">
        <x:v>0001670592-26-000013</x:v>
      </x:c>
      <x:c r="H117" t="str">
        <x:v>CY2025</x:v>
      </x:c>
      <x:c r="I117" t="str">
        <x:v>2026-02-27</x:v>
      </x:c>
      <x:c r="J117" t="str">
        <x:v>Annual 10-K fact selected by SEC frame/fiscal year.</x:v>
      </x:c>
    </x:row>
    <x:row r="118">
      <x:c r="A118" t="str">
        <x:v>FY2025</x:v>
      </x:c>
      <x:c r="B118" t="str">
        <x:v>depreciation_amortization</x:v>
      </x:c>
      <x:c r="C118" t="n">
        <x:v>54232000</x:v>
      </x:c>
      <x:c r="D118" t="str">
        <x:v>USD</x:v>
      </x:c>
      <x:c r="E118" t="str">
        <x:v>raw/filings/yeti-2026-02-27-10-k-yeti-20260103.htm</x:v>
      </x:c>
      <x:c r="F118" t="str">
        <x:v>us-gaap:DepreciationDepletionAndAmortization</x:v>
      </x:c>
      <x:c r="G118" t="str">
        <x:v>0001670592-26-000013</x:v>
      </x:c>
      <x:c r="H118" t="str">
        <x:v>CY2025</x:v>
      </x:c>
      <x:c r="I118" t="str">
        <x:v>2026-02-27</x:v>
      </x:c>
      <x:c r="J118" t="str">
        <x:v>Annual 10-K fact selected by SEC frame/fiscal year.</x:v>
      </x:c>
    </x:row>
    <x:row r="119">
      <x:c r="A119" t="str">
        <x:v>FY2025</x:v>
      </x:c>
      <x:c r="B119" t="str">
        <x:v>stock_comp</x:v>
      </x:c>
      <x:c r="C119" t="n">
        <x:v>47688000</x:v>
      </x:c>
      <x:c r="D119" t="str">
        <x:v>USD</x:v>
      </x:c>
      <x:c r="E119" t="str">
        <x:v>raw/filings/yeti-2026-02-27-10-k-yeti-20260103.htm</x:v>
      </x:c>
      <x:c r="F119" t="str">
        <x:v>us-gaap:ShareBasedCompensation</x:v>
      </x:c>
      <x:c r="G119" t="str">
        <x:v>0001670592-26-000013</x:v>
      </x:c>
      <x:c r="H119" t="str">
        <x:v>CY2025</x:v>
      </x:c>
      <x:c r="I119" t="str">
        <x:v>2026-02-27</x:v>
      </x:c>
      <x:c r="J119" t="str">
        <x:v>Annual 10-K fact selected by SEC frame/fiscal year.</x:v>
      </x:c>
    </x:row>
    <x:row r="120">
      <x:c r="A120" t="str">
        <x:v>FY2025</x:v>
      </x:c>
      <x:c r="B120" t="str">
        <x:v>share_repurchases</x:v>
      </x:c>
      <x:c r="C120" t="n">
        <x:v>297780000</x:v>
      </x:c>
      <x:c r="D120" t="str">
        <x:v>USD</x:v>
      </x:c>
      <x:c r="E120" t="str">
        <x:v>raw/filings/yeti-2026-02-27-10-k-yeti-20260103.htm</x:v>
      </x:c>
      <x:c r="F120" t="str">
        <x:v>us-gaap:PaymentsForRepurchaseOfCommonStock</x:v>
      </x:c>
      <x:c r="G120" t="str">
        <x:v>0001670592-26-000013</x:v>
      </x:c>
      <x:c r="H120" t="str">
        <x:v>CY2025</x:v>
      </x:c>
      <x:c r="I120" t="str">
        <x:v>2026-02-27</x:v>
      </x:c>
      <x:c r="J120" t="str">
        <x:v>Annual 10-K fact selected by SEC frame/fiscal year.</x:v>
      </x:c>
    </x:row>
    <x:row r="121">
      <x:c r="A121" t="str">
        <x:v>FY2025</x:v>
      </x:c>
      <x:c r="B121" t="str">
        <x:v>cash</x:v>
      </x:c>
      <x:c r="C121" t="n">
        <x:v>188342000</x:v>
      </x:c>
      <x:c r="D121" t="str">
        <x:v>USD</x:v>
      </x:c>
      <x:c r="E121" t="str">
        <x:v>raw/filings/yeti-2026-02-27-10-k-yeti-20260103.htm</x:v>
      </x:c>
      <x:c r="F121" t="str">
        <x:v>us-gaap:CashCashEquivalentsRestrictedCashAndRestrictedCashEquivalents</x:v>
      </x:c>
      <x:c r="G121" t="str">
        <x:v>0001670592-26-000013</x:v>
      </x:c>
      <x:c r="H121" t="str">
        <x:v>CY2025Q4I</x:v>
      </x:c>
      <x:c r="I121" t="str">
        <x:v>2026-02-27</x:v>
      </x:c>
      <x:c r="J121" t="str">
        <x:v>Fiscal year-end balance sheet fact selected by SEC instant frame.</x:v>
      </x:c>
    </x:row>
    <x:row r="122">
      <x:c r="A122" t="str">
        <x:v>FY2025</x:v>
      </x:c>
      <x:c r="B122" t="str">
        <x:v>accounts_receivable</x:v>
      </x:c>
      <x:c r="C122" t="n">
        <x:v>141424000</x:v>
      </x:c>
      <x:c r="D122" t="str">
        <x:v>USD</x:v>
      </x:c>
      <x:c r="E122" t="str">
        <x:v>raw/filings/yeti-2026-02-27-10-k-yeti-20260103.htm</x:v>
      </x:c>
      <x:c r="F122" t="str">
        <x:v>us-gaap:AccountsReceivableNetCurrent</x:v>
      </x:c>
      <x:c r="G122" t="str">
        <x:v>0001670592-26-000013</x:v>
      </x:c>
      <x:c r="H122" t="str">
        <x:v>CY2025Q4I</x:v>
      </x:c>
      <x:c r="I122" t="str">
        <x:v>2026-02-27</x:v>
      </x:c>
      <x:c r="J122" t="str">
        <x:v>Fiscal year-end balance sheet fact selected by SEC instant frame.</x:v>
      </x:c>
    </x:row>
    <x:row r="123">
      <x:c r="A123" t="str">
        <x:v>FY2025</x:v>
      </x:c>
      <x:c r="B123" t="str">
        <x:v>inventory</x:v>
      </x:c>
      <x:c r="C123" t="n">
        <x:v>290611000</x:v>
      </x:c>
      <x:c r="D123" t="str">
        <x:v>USD</x:v>
      </x:c>
      <x:c r="E123" t="str">
        <x:v>raw/filings/yeti-2026-02-27-10-k-yeti-20260103.htm</x:v>
      </x:c>
      <x:c r="F123" t="str">
        <x:v>us-gaap:InventoryNet</x:v>
      </x:c>
      <x:c r="G123" t="str">
        <x:v>0001670592-26-000013</x:v>
      </x:c>
      <x:c r="H123" t="str">
        <x:v>CY2025Q4I</x:v>
      </x:c>
      <x:c r="I123" t="str">
        <x:v>2026-02-27</x:v>
      </x:c>
      <x:c r="J123" t="str">
        <x:v>Fiscal year-end balance sheet fact selected by SEC instant frame.</x:v>
      </x:c>
    </x:row>
    <x:row r="124">
      <x:c r="A124" t="str">
        <x:v>FY2025</x:v>
      </x:c>
      <x:c r="B124" t="str">
        <x:v>prepaids_other_current_assets</x:v>
      </x:c>
      <x:c r="C124" t="n">
        <x:v>39949000</x:v>
      </x:c>
      <x:c r="D124" t="str">
        <x:v>USD</x:v>
      </x:c>
      <x:c r="E124" t="str">
        <x:v>raw/filings/yeti-2026-02-27-10-k-yeti-20260103.htm</x:v>
      </x:c>
      <x:c r="F124" t="str">
        <x:v>us-gaap:PrepaidExpenseAndOtherAssetsCurrent</x:v>
      </x:c>
      <x:c r="G124" t="str">
        <x:v>0001670592-26-000013</x:v>
      </x:c>
      <x:c r="H124" t="str">
        <x:v>CY2025Q4I</x:v>
      </x:c>
      <x:c r="I124" t="str">
        <x:v>2026-02-27</x:v>
      </x:c>
      <x:c r="J124" t="str">
        <x:v>Fiscal year-end balance sheet fact selected by SEC instant frame.</x:v>
      </x:c>
    </x:row>
    <x:row r="125">
      <x:c r="A125" t="str">
        <x:v>FY2025</x:v>
      </x:c>
      <x:c r="B125" t="str">
        <x:v>current_assets</x:v>
      </x:c>
      <x:c r="C125" t="n">
        <x:v>660326000</x:v>
      </x:c>
      <x:c r="D125" t="str">
        <x:v>USD</x:v>
      </x:c>
      <x:c r="E125" t="str">
        <x:v>raw/filings/yeti-2026-02-27-10-k-yeti-20260103.htm</x:v>
      </x:c>
      <x:c r="F125" t="str">
        <x:v>us-gaap:AssetsCurrent</x:v>
      </x:c>
      <x:c r="G125" t="str">
        <x:v>0001670592-26-000013</x:v>
      </x:c>
      <x:c r="H125" t="str">
        <x:v>CY2025Q4I</x:v>
      </x:c>
      <x:c r="I125" t="str">
        <x:v>2026-02-27</x:v>
      </x:c>
      <x:c r="J125" t="str">
        <x:v>Fiscal year-end balance sheet fact selected by SEC instant frame.</x:v>
      </x:c>
    </x:row>
    <x:row r="126">
      <x:c r="A126" t="str">
        <x:v>FY2025</x:v>
      </x:c>
      <x:c r="B126" t="str">
        <x:v>ppe_net</x:v>
      </x:c>
      <x:c r="C126" t="n">
        <x:v>142105000</x:v>
      </x:c>
      <x:c r="D126" t="str">
        <x:v>USD</x:v>
      </x:c>
      <x:c r="E126" t="str">
        <x:v>raw/filings/yeti-2026-02-27-10-k-yeti-20260103.htm</x:v>
      </x:c>
      <x:c r="F126" t="str">
        <x:v>us-gaap:PropertyPlantAndEquipmentAndFinanceLeaseRightOfUseAssetAfterAccumulatedDepreciationAndAmortization</x:v>
      </x:c>
      <x:c r="G126" t="str">
        <x:v>0001670592-26-000013</x:v>
      </x:c>
      <x:c r="H126" t="str">
        <x:v>CY2025Q4I</x:v>
      </x:c>
      <x:c r="I126" t="str">
        <x:v>2026-02-27</x:v>
      </x:c>
      <x:c r="J126" t="str">
        <x:v>Fiscal year-end balance sheet fact selected by SEC instant frame.</x:v>
      </x:c>
    </x:row>
    <x:row r="127">
      <x:c r="A127" t="str">
        <x:v>FY2025</x:v>
      </x:c>
      <x:c r="B127" t="str">
        <x:v>operating_lease_assets</x:v>
      </x:c>
      <x:c r="C127" t="n">
        <x:v>131531000</x:v>
      </x:c>
      <x:c r="D127" t="str">
        <x:v>USD</x:v>
      </x:c>
      <x:c r="E127" t="str">
        <x:v>raw/filings/yeti-2026-02-27-10-k-yeti-20260103.htm</x:v>
      </x:c>
      <x:c r="F127" t="str">
        <x:v>us-gaap:OperatingLeaseRightOfUseAsset</x:v>
      </x:c>
      <x:c r="G127" t="str">
        <x:v>0001670592-26-000013</x:v>
      </x:c>
      <x:c r="H127" t="str">
        <x:v>CY2025Q4I</x:v>
      </x:c>
      <x:c r="I127" t="str">
        <x:v>2026-02-27</x:v>
      </x:c>
      <x:c r="J127" t="str">
        <x:v>Fiscal year-end balance sheet fact selected by SEC instant frame.</x:v>
      </x:c>
    </x:row>
    <x:row r="128">
      <x:c r="A128" t="str">
        <x:v>FY2025</x:v>
      </x:c>
      <x:c r="B128" t="str">
        <x:v>goodwill</x:v>
      </x:c>
      <x:c r="C128" t="n">
        <x:v>72308000</x:v>
      </x:c>
      <x:c r="D128" t="str">
        <x:v>USD</x:v>
      </x:c>
      <x:c r="E128" t="str">
        <x:v>raw/filings/yeti-2026-02-27-10-k-yeti-20260103.htm</x:v>
      </x:c>
      <x:c r="F128" t="str">
        <x:v>us-gaap:Goodwill</x:v>
      </x:c>
      <x:c r="G128" t="str">
        <x:v>0001670592-26-000013</x:v>
      </x:c>
      <x:c r="H128" t="str">
        <x:v>CY2025Q4I</x:v>
      </x:c>
      <x:c r="I128" t="str">
        <x:v>2026-02-27</x:v>
      </x:c>
      <x:c r="J128" t="str">
        <x:v>Fiscal year-end balance sheet fact selected by SEC instant frame.</x:v>
      </x:c>
    </x:row>
    <x:row r="129">
      <x:c r="A129" t="str">
        <x:v>FY2025</x:v>
      </x:c>
      <x:c r="B129" t="str">
        <x:v>intangible_assets</x:v>
      </x:c>
      <x:c r="C129" t="n">
        <x:v>219791000</x:v>
      </x:c>
      <x:c r="D129" t="str">
        <x:v>USD</x:v>
      </x:c>
      <x:c r="E129" t="str">
        <x:v>raw/filings/yeti-2026-02-27-10-k-yeti-20260103.htm</x:v>
      </x:c>
      <x:c r="F129" t="str">
        <x:v>us-gaap:IntangibleAssetsNetExcludingGoodwill</x:v>
      </x:c>
      <x:c r="G129" t="str">
        <x:v>0001670592-26-000013</x:v>
      </x:c>
      <x:c r="H129" t="str">
        <x:v>CY2025Q4I</x:v>
      </x:c>
      <x:c r="I129" t="str">
        <x:v>2026-02-27</x:v>
      </x:c>
      <x:c r="J129" t="str">
        <x:v>Fiscal year-end balance sheet fact selected by SEC instant frame.</x:v>
      </x:c>
    </x:row>
    <x:row r="130">
      <x:c r="A130" t="str">
        <x:v>FY2025</x:v>
      </x:c>
      <x:c r="B130" t="str">
        <x:v>total_assets</x:v>
      </x:c>
      <x:c r="C130" t="n">
        <x:v>1235418000</x:v>
      </x:c>
      <x:c r="D130" t="str">
        <x:v>USD</x:v>
      </x:c>
      <x:c r="E130" t="str">
        <x:v>raw/filings/yeti-2026-02-27-10-k-yeti-20260103.htm</x:v>
      </x:c>
      <x:c r="F130" t="str">
        <x:v>us-gaap:Assets</x:v>
      </x:c>
      <x:c r="G130" t="str">
        <x:v>0001670592-26-000013</x:v>
      </x:c>
      <x:c r="H130" t="str">
        <x:v>CY2025Q4I</x:v>
      </x:c>
      <x:c r="I130" t="str">
        <x:v>2026-02-27</x:v>
      </x:c>
      <x:c r="J130" t="str">
        <x:v>Fiscal year-end balance sheet fact selected by SEC instant frame.</x:v>
      </x:c>
    </x:row>
    <x:row r="131">
      <x:c r="A131" t="str">
        <x:v>FY2025</x:v>
      </x:c>
      <x:c r="B131" t="str">
        <x:v>accounts_payable</x:v>
      </x:c>
      <x:c r="C131" t="n">
        <x:v>140214000</x:v>
      </x:c>
      <x:c r="D131" t="str">
        <x:v>USD</x:v>
      </x:c>
      <x:c r="E131" t="str">
        <x:v>raw/filings/yeti-2026-02-27-10-k-yeti-20260103.htm</x:v>
      </x:c>
      <x:c r="F131" t="str">
        <x:v>us-gaap:AccountsPayableCurrent</x:v>
      </x:c>
      <x:c r="G131" t="str">
        <x:v>0001670592-26-000013</x:v>
      </x:c>
      <x:c r="H131" t="str">
        <x:v>CY2025Q4I</x:v>
      </x:c>
      <x:c r="I131" t="str">
        <x:v>2026-02-27</x:v>
      </x:c>
      <x:c r="J131" t="str">
        <x:v>Fiscal year-end balance sheet fact selected by SEC instant frame.</x:v>
      </x:c>
    </x:row>
    <x:row r="132">
      <x:c r="A132" t="str">
        <x:v>FY2025</x:v>
      </x:c>
      <x:c r="B132" t="str">
        <x:v>current_liabilities</x:v>
      </x:c>
      <x:c r="C132" t="n">
        <x:v>334339000</x:v>
      </x:c>
      <x:c r="D132" t="str">
        <x:v>USD</x:v>
      </x:c>
      <x:c r="E132" t="str">
        <x:v>raw/filings/yeti-2026-02-27-10-k-yeti-20260103.htm</x:v>
      </x:c>
      <x:c r="F132" t="str">
        <x:v>us-gaap:LiabilitiesCurrent</x:v>
      </x:c>
      <x:c r="G132" t="str">
        <x:v>0001670592-26-000013</x:v>
      </x:c>
      <x:c r="H132" t="str">
        <x:v>CY2025Q4I</x:v>
      </x:c>
      <x:c r="I132" t="str">
        <x:v>2026-02-27</x:v>
      </x:c>
      <x:c r="J132" t="str">
        <x:v>Fiscal year-end balance sheet fact selected by SEC instant frame.</x:v>
      </x:c>
    </x:row>
    <x:row r="133">
      <x:c r="A133" t="str">
        <x:v>FY2025</x:v>
      </x:c>
      <x:c r="B133" t="str">
        <x:v>current_debt</x:v>
      </x:c>
      <x:c r="C133" t="n">
        <x:v>4219000</x:v>
      </x:c>
      <x:c r="D133" t="str">
        <x:v>USD</x:v>
      </x:c>
      <x:c r="E133" t="str">
        <x:v>raw/filings/yeti-2026-02-27-10-k-yeti-20260103.htm</x:v>
      </x:c>
      <x:c r="F133" t="str">
        <x:v>us-gaap:LongTermDebtCurrent</x:v>
      </x:c>
      <x:c r="G133" t="str">
        <x:v>0001670592-26-000013</x:v>
      </x:c>
      <x:c r="H133" t="str">
        <x:v>CY2025Q4I</x:v>
      </x:c>
      <x:c r="I133" t="str">
        <x:v>2026-02-27</x:v>
      </x:c>
      <x:c r="J133" t="str">
        <x:v>Fiscal year-end balance sheet fact selected by SEC instant frame.</x:v>
      </x:c>
    </x:row>
    <x:row r="134">
      <x:c r="A134" t="str">
        <x:v>FY2025</x:v>
      </x:c>
      <x:c r="B134" t="str">
        <x:v>long_term_debt</x:v>
      </x:c>
      <x:c r="C134" t="n">
        <x:v>68301000</x:v>
      </x:c>
      <x:c r="D134" t="str">
        <x:v>USD</x:v>
      </x:c>
      <x:c r="E134" t="str">
        <x:v>raw/filings/yeti-2026-02-27-10-k-yeti-20260103.htm</x:v>
      </x:c>
      <x:c r="F134" t="str">
        <x:v>us-gaap:LongTermDebtNoncurrent</x:v>
      </x:c>
      <x:c r="G134" t="str">
        <x:v>0001670592-26-000013</x:v>
      </x:c>
      <x:c r="H134" t="str">
        <x:v>CY2025Q4I</x:v>
      </x:c>
      <x:c r="I134" t="str">
        <x:v>2026-02-27</x:v>
      </x:c>
      <x:c r="J134" t="str">
        <x:v>Fiscal year-end balance sheet fact selected by SEC instant frame.</x:v>
      </x:c>
    </x:row>
    <x:row r="135">
      <x:c r="A135" t="str">
        <x:v>FY2025</x:v>
      </x:c>
      <x:c r="B135" t="str">
        <x:v>operating_lease_liabilities</x:v>
      </x:c>
      <x:c r="C135" t="n">
        <x:v>154989000</x:v>
      </x:c>
      <x:c r="D135" t="str">
        <x:v>USD</x:v>
      </x:c>
      <x:c r="E135" t="str">
        <x:v>raw/filings/yeti-2026-02-27-10-k-yeti-20260103.htm</x:v>
      </x:c>
      <x:c r="F135" t="str">
        <x:v>us-gaap:OperatingLeaseLiability</x:v>
      </x:c>
      <x:c r="G135" t="str">
        <x:v>0001670592-26-000013</x:v>
      </x:c>
      <x:c r="H135" t="str">
        <x:v>CY2025Q4I</x:v>
      </x:c>
      <x:c r="I135" t="str">
        <x:v>2026-02-27</x:v>
      </x:c>
      <x:c r="J135" t="str">
        <x:v>Fiscal year-end balance sheet fact selected by SEC instant frame.</x:v>
      </x:c>
    </x:row>
    <x:row r="136">
      <x:c r="A136" t="str">
        <x:v>FY2025</x:v>
      </x:c>
      <x:c r="B136" t="str">
        <x:v>total_liabilities</x:v>
      </x:c>
      <x:c r="C136" t="n">
        <x:v>585142000</x:v>
      </x:c>
      <x:c r="D136" t="str">
        <x:v>USD</x:v>
      </x:c>
      <x:c r="E136" t="str">
        <x:v>raw/filings/yeti-2026-02-27-10-k-yeti-20260103.htm</x:v>
      </x:c>
      <x:c r="F136" t="str">
        <x:v>us-gaap:Liabilities</x:v>
      </x:c>
      <x:c r="G136" t="str">
        <x:v>0001670592-26-000013</x:v>
      </x:c>
      <x:c r="H136" t="str">
        <x:v>CY2025Q4I</x:v>
      </x:c>
      <x:c r="I136" t="str">
        <x:v>2026-02-27</x:v>
      </x:c>
      <x:c r="J136" t="str">
        <x:v>Fiscal year-end balance sheet fact selected by SEC instant frame.</x:v>
      </x:c>
    </x:row>
    <x:row r="137">
      <x:c r="A137" t="str">
        <x:v>FY2025</x:v>
      </x:c>
      <x:c r="B137" t="str">
        <x:v>stockholders_equity</x:v>
      </x:c>
      <x:c r="C137" t="n">
        <x:v>650276000</x:v>
      </x:c>
      <x:c r="D137" t="str">
        <x:v>USD</x:v>
      </x:c>
      <x:c r="E137" t="str">
        <x:v>raw/filings/yeti-2026-02-27-10-k-yeti-20260103.htm</x:v>
      </x:c>
      <x:c r="F137" t="str">
        <x:v>us-gaap:StockholdersEquity</x:v>
      </x:c>
      <x:c r="G137" t="str">
        <x:v>0001670592-26-000013</x:v>
      </x:c>
      <x:c r="H137" t="str">
        <x:v>CY2025Q4I</x:v>
      </x:c>
      <x:c r="I137" t="str">
        <x:v>2026-02-27</x:v>
      </x:c>
      <x:c r="J137" t="str">
        <x:v>Fiscal year-end balance sheet fact selected by SEC instant frame.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2400016784668" hidden="0" customWidth="1"/>
    <x:col min="2" max="2" width="5.380000114440918" hidden="0" customWidth="1"/>
    <x:col min="3" max="3" width="7.400000095367432" hidden="0" customWidth="1"/>
    <x:col min="4" max="4" width="8.34000015258789" hidden="0" customWidth="1"/>
    <x:col min="5" max="5" width="7.809999942779541" hidden="0" customWidth="1"/>
    <x:col min="6" max="6" width="4.980000019073486" hidden="0" customWidth="1"/>
  </x:cols>
  <x:sheetData>
    <x:row r="1">
      <x:c r="A1" s="2" t="str">
        <x:v>Model Checks</x:v>
      </x:c>
    </x:row>
    <x:row r="2">
      <x:c r="A2" s="3" t="str">
        <x:v>Checks should read OK before using the workbook.</x:v>
      </x:c>
    </x:row>
    <x:row r="4">
      <x:c r="A4" s="6" t="str">
        <x:v>Check</x:v>
      </x:c>
      <x:c r="B4" s="6" t="str">
        <x:v>Actual</x:v>
      </x:c>
      <x:c r="C4" s="6" t="str">
        <x:v>Expected</x:v>
      </x:c>
      <x:c r="D4" s="6" t="str">
        <x:v>Difference</x:v>
      </x:c>
      <x:c r="E4" s="6" t="str">
        <x:v>Tolerance</x:v>
      </x:c>
      <x:c r="F4" s="6" t="str">
        <x:v>Status</x:v>
      </x:c>
    </x:row>
    <x:row r="5">
      <x:c r="A5" t="str">
        <x:v>FY2030 balance sheet balances</x:v>
      </x:c>
      <x:c r="B5" s="26" t="n">
        <x:f>Model!I38</x:f>
        <x:v>0</x:v>
      </x:c>
      <x:c r="C5" s="26" t="n">
        <x:v>0</x:v>
      </x:c>
      <x:c r="D5" s="26" t="n">
        <x:f>B5-C5</x:f>
        <x:v>0</x:v>
      </x:c>
      <x:c r="E5" s="26" t="n">
        <x:v>0.01</x:v>
      </x:c>
      <x:c r="F5" t="str">
        <x:f>IF(ABS(D5)&lt;=E5,"OK","Check")</x:f>
        <x:v>OK</x:v>
      </x:c>
    </x:row>
    <x:row r="6">
      <x:c r="A6" t="str">
        <x:v>FY2030 cash flow ties to cash</x:v>
      </x:c>
      <x:c r="B6" s="26" t="n">
        <x:f>Model!I50</x:f>
        <x:v>0</x:v>
      </x:c>
      <x:c r="C6" s="26" t="n">
        <x:v>0</x:v>
      </x:c>
      <x:c r="D6" s="26" t="n">
        <x:f>B6-C6</x:f>
        <x:v>0</x:v>
      </x:c>
      <x:c r="E6" s="26" t="n">
        <x:v>0.01</x:v>
      </x:c>
      <x:c r="F6" t="str">
        <x:f>IF(ABS(D6)&lt;=E6,"OK","Check")</x:f>
        <x:v>OK</x:v>
      </x:c>
    </x:row>
    <x:row r="7">
      <x:c r="A7" t="str">
        <x:v>Source rows loaded</x:v>
      </x:c>
      <x:c r="B7" s="26" t="n">
        <x:v>96</x:v>
      </x:c>
      <x:c r="C7" s="26" t="n">
        <x:v>50</x:v>
      </x:c>
      <x:c r="D7" s="26" t="n">
        <x:f>B7-C7</x:f>
        <x:v>46</x:v>
      </x:c>
      <x:c r="E7" s="26" t="n">
        <x:v>0</x:v>
      </x:c>
      <x:c r="F7" t="str">
        <x:f>IF(B7&gt;=C7,"OK","Check")</x:f>
        <x:v>OK</x:v>
      </x:c>
    </x:row>
    <x:row r="8">
      <x:c r="A8" t="str">
        <x:v>Scenario probabilities sum to 100%</x:v>
      </x:c>
      <x:c r="B8" s="26" t="n">
        <x:f>SUM(Scenarios!B5:B7)</x:f>
        <x:v>1</x:v>
      </x:c>
      <x:c r="C8" s="26" t="n">
        <x:v>1</x:v>
      </x:c>
      <x:c r="D8" s="26" t="n">
        <x:f>B8-C8</x:f>
        <x:v>0</x:v>
      </x:c>
      <x:c r="E8" s="26" t="n">
        <x:v>0.0001</x:v>
      </x:c>
      <x:c r="F8" t="str">
        <x:f>IF(ABS(D8)&lt;=E8,"OK","Check")</x:f>
        <x:v>OK</x:v>
      </x:c>
    </x:row>
    <x:row r="9">
      <x:c r="A9" t="str">
        <x:v>WACC greater than terminal growth</x:v>
      </x:c>
      <x:c r="B9" s="26" t="n">
        <x:f>Assumptions!B18</x:f>
        <x:v>0.10800640605512753</x:v>
      </x:c>
      <x:c r="C9" s="26" t="n">
        <x:f>Assumptions!B19</x:f>
        <x:v>0.0275</x:v>
      </x:c>
      <x:c r="D9" s="26" t="n">
        <x:f>B9-C9</x:f>
        <x:v>0.08050640605512753</x:v>
      </x:c>
      <x:c r="E9" s="26" t="n">
        <x:v>0</x:v>
      </x:c>
      <x:c r="F9" t="str">
        <x:f>IF(B9&gt;C9,"OK","Check")</x:f>
        <x:v>OK</x:v>
      </x:c>
    </x:row>
    <x:row r="10">
      <x:c r="A10" t="str">
        <x:v>Blended target is calculated</x:v>
      </x:c>
      <x:c r="B10" t="n">
        <x:f>Valuation!B19</x:f>
        <x:v>41</x:v>
      </x:c>
      <x:c r="F10" t="str">
        <x:f>IF(B10&gt;0,"OK","Check")</x:f>
        <x:v>OK</x:v>
      </x:c>
    </x:row>
    <x:row r="11">
      <x:c r="A11" t="str">
        <x:v>Recommendation cell populated</x:v>
      </x:c>
      <x:c r="B11" t="str">
        <x:f>Valuation!B28</x:f>
        <x:v>HOLD</x:v>
      </x:c>
      <x:c r="F11" t="str">
        <x:f>IF(B11&lt;&gt;"","OK","Check")</x:f>
        <x:v>OK</x:v>
      </x:c>
    </x:row>
  </x:sheetData>
  <x:mergeCells>
    <x:mergeCell ref="A1:H1"/>
    <x:mergeCell ref="A2:H2"/>
  </x:mergeCells>
  <x:pageMargins left="0.7" right="0.7" top="0.75" bottom="0.75" header="0.3" footer="0.3"/>
</x:worksheet>
</file>