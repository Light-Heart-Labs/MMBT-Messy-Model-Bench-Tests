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Revenue:</t>
        </is>
      </c>
      <c r="B1" t="inlineStr"/>
      <c r="C1" t="inlineStr"/>
      <c r="D1" t="inlineStr"/>
      <c r="E1" t="inlineStr"/>
    </row>
    <row r="2">
      <c r="A2" s="2" t="inlineStr">
        <is>
          <t>Subscription</t>
        </is>
      </c>
      <c r="B2" t="n">
        <v>3150551</v>
      </c>
      <c r="C2" t="n">
        <v>2901309</v>
      </c>
      <c r="D2" t="n">
        <v>8.199999999999999</v>
      </c>
      <c r="E2">
        <f>B4/C4-1</f>
        <v/>
      </c>
    </row>
    <row r="3">
      <c r="A3" s="3" t="inlineStr">
        <is>
          <t>Professional services and other</t>
        </is>
      </c>
      <c r="B3" t="n">
        <v>68949</v>
      </c>
      <c r="C3" t="n">
        <v>75430</v>
      </c>
      <c r="D3" t="n">
        <v>-8.699999999999999</v>
      </c>
      <c r="E3">
        <f>B5/C5-1</f>
        <v/>
      </c>
    </row>
    <row r="4">
      <c r="A4" t="inlineStr">
        <is>
          <t>Total Revenue</t>
        </is>
      </c>
      <c r="B4" t="n">
        <v>3219500</v>
      </c>
      <c r="C4" t="n">
        <v>2976739</v>
      </c>
      <c r="D4" t="n">
        <v>8.199999999999999</v>
      </c>
      <c r="E4">
        <f>B6/C6-1</f>
        <v/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Cost of Revenue:</t>
        </is>
      </c>
      <c r="B6" t="inlineStr"/>
      <c r="C6" t="inlineStr"/>
      <c r="D6" t="inlineStr"/>
      <c r="E6" t="inlineStr"/>
    </row>
    <row r="7">
      <c r="A7" t="inlineStr">
        <is>
          <t>Subscription</t>
        </is>
      </c>
      <c r="B7" t="n">
        <v>581058</v>
      </c>
      <c r="C7" t="n">
        <v>532445</v>
      </c>
      <c r="D7" t="n">
        <v>9.1</v>
      </c>
      <c r="E7">
        <f>B8/C8-1</f>
        <v/>
      </c>
    </row>
    <row r="8">
      <c r="A8" t="inlineStr">
        <is>
          <t>Professional services and other</t>
        </is>
      </c>
      <c r="B8" t="n">
        <v>82004</v>
      </c>
      <c r="C8" t="n">
        <v>89214</v>
      </c>
      <c r="D8" t="n">
        <v>-8.1</v>
      </c>
      <c r="E8">
        <f>B9/C9-1</f>
        <v/>
      </c>
    </row>
    <row r="9">
      <c r="A9" t="inlineStr">
        <is>
          <t>Total Cost of Revenue</t>
        </is>
      </c>
      <c r="B9" t="n">
        <v>663062</v>
      </c>
      <c r="C9" t="n">
        <v>621659</v>
      </c>
      <c r="D9" t="n">
        <v>6.7</v>
      </c>
      <c r="E9">
        <f>B10/C10-1</f>
        <v/>
      </c>
    </row>
    <row r="10">
      <c r="A10" t="inlineStr">
        <is>
          <t>Gross Profit</t>
        </is>
      </c>
      <c r="B10" t="n">
        <v>2556438</v>
      </c>
      <c r="C10" t="n">
        <v>2355080</v>
      </c>
      <c r="D10" t="n">
        <v>8.5</v>
      </c>
      <c r="E10">
        <f>B11-C10</f>
        <v/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Operating Expenses:</t>
        </is>
      </c>
      <c r="B12" t="inlineStr"/>
      <c r="C12" t="inlineStr"/>
      <c r="D12" t="inlineStr"/>
      <c r="E12" t="inlineStr"/>
    </row>
    <row r="13">
      <c r="A13" t="inlineStr">
        <is>
          <t>Sales and marketing</t>
        </is>
      </c>
      <c r="B13" t="n">
        <v>1203885</v>
      </c>
      <c r="C13" t="n">
        <v>1160993</v>
      </c>
      <c r="D13" t="n">
        <v>3.7</v>
      </c>
      <c r="E13">
        <f>B13/C13-1</f>
        <v/>
      </c>
    </row>
    <row r="14">
      <c r="A14" t="inlineStr">
        <is>
          <t>Research and development</t>
        </is>
      </c>
      <c r="B14" t="n">
        <v>664985</v>
      </c>
      <c r="C14" t="n">
        <v>588455</v>
      </c>
      <c r="D14" t="n">
        <v>13</v>
      </c>
      <c r="E14">
        <f>B14/C14-1</f>
        <v/>
      </c>
    </row>
    <row r="15">
      <c r="A15" t="inlineStr">
        <is>
          <t>General and administrative</t>
        </is>
      </c>
      <c r="B15" t="n">
        <v>388989</v>
      </c>
      <c r="C15" t="n">
        <v>375983</v>
      </c>
      <c r="D15" t="n">
        <v>3.5</v>
      </c>
      <c r="E15">
        <f>B15/C15-1</f>
        <v/>
      </c>
    </row>
    <row r="16">
      <c r="A16" t="inlineStr">
        <is>
          <t>Total Operating Expenses</t>
        </is>
      </c>
      <c r="B16" t="n">
        <v>2257859</v>
      </c>
      <c r="C16" t="n">
        <v>2125431</v>
      </c>
      <c r="D16" t="n">
        <v>6.2</v>
      </c>
      <c r="E16">
        <f>B13+B14+B15</f>
        <v/>
      </c>
    </row>
    <row r="17">
      <c r="A17" t="inlineStr">
        <is>
          <t>Income from Operations</t>
        </is>
      </c>
      <c r="B17" t="n">
        <v>298579</v>
      </c>
      <c r="C17" t="n">
        <v>229649</v>
      </c>
      <c r="D17" t="n">
        <v>29.9</v>
      </c>
      <c r="E17">
        <f>B11-B16</f>
        <v/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Other Income/Expense:</t>
        </is>
      </c>
      <c r="B19" t="inlineStr"/>
      <c r="C19" t="inlineStr"/>
      <c r="D19" t="inlineStr"/>
      <c r="E19" t="inlineStr"/>
    </row>
    <row r="20">
      <c r="A20" t="inlineStr">
        <is>
          <t>Interest expense</t>
        </is>
      </c>
      <c r="B20" t="n">
        <v>2546</v>
      </c>
      <c r="C20" t="n">
        <v>1550</v>
      </c>
      <c r="D20" t="n">
        <v>64.3</v>
      </c>
      <c r="E20">
        <f>B18/C18-1</f>
        <v/>
      </c>
    </row>
    <row r="21">
      <c r="A21" t="inlineStr">
        <is>
          <t>Interest income and other income, net</t>
        </is>
      </c>
      <c r="B21" t="n">
        <v>51295</v>
      </c>
      <c r="C21" t="n">
        <v>49563</v>
      </c>
      <c r="D21" t="n">
        <v>3.5</v>
      </c>
      <c r="E21">
        <f>B19/C19-1</f>
        <v/>
      </c>
    </row>
    <row r="22">
      <c r="A22" t="inlineStr">
        <is>
          <t>Income before provision for income taxes</t>
        </is>
      </c>
      <c r="B22" t="n">
        <v>347328</v>
      </c>
      <c r="C22" t="n">
        <v>247941</v>
      </c>
      <c r="D22" t="n">
        <v>39.7</v>
      </c>
      <c r="E22">
        <f>B17-B18+B19</f>
        <v/>
      </c>
    </row>
    <row r="23">
      <c r="A23" t="inlineStr">
        <is>
          <t>Provision for income taxes</t>
        </is>
      </c>
      <c r="B23" t="n">
        <v>38243</v>
      </c>
      <c r="C23" t="n">
        <v>-819944</v>
      </c>
      <c r="D23" t="n">
        <v>-1046.6</v>
      </c>
      <c r="E23">
        <f>B20*0.11</f>
        <v/>
      </c>
    </row>
    <row r="24">
      <c r="A24" t="inlineStr">
        <is>
          <t>Net Income</t>
        </is>
      </c>
      <c r="B24" t="n">
        <v>309085</v>
      </c>
      <c r="C24" t="n">
        <v>1067885</v>
      </c>
      <c r="D24" t="n">
        <v>-71.09999999999999</v>
      </c>
      <c r="E24">
        <f>B20-B21</f>
        <v/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Earnings Per Share:</t>
        </is>
      </c>
      <c r="B26" t="inlineStr"/>
      <c r="C26" t="inlineStr"/>
      <c r="D26" t="inlineStr"/>
      <c r="E26" t="inlineStr"/>
    </row>
    <row r="27">
      <c r="A27" t="inlineStr">
        <is>
          <t>Basic</t>
        </is>
      </c>
      <c r="B27" t="n">
        <v>1.53</v>
      </c>
      <c r="C27" t="n">
        <v>5.23</v>
      </c>
      <c r="D27" t="n">
        <v>-70.59999999999999</v>
      </c>
      <c r="E27">
        <f>B23/202079</f>
        <v/>
      </c>
    </row>
    <row r="28">
      <c r="A28" t="inlineStr">
        <is>
          <t>Diluted</t>
        </is>
      </c>
      <c r="B28" t="n">
        <v>1.48</v>
      </c>
      <c r="C28" t="n">
        <v>5.08</v>
      </c>
      <c r="D28" t="n">
        <v>-70.90000000000001</v>
      </c>
      <c r="E28">
        <f>B24/209118</f>
        <v/>
      </c>
    </row>
    <row r="29">
      <c r="A29" t="inlineStr">
        <is>
          <t>Weighted average shares - Basic</t>
        </is>
      </c>
      <c r="B29" t="n">
        <v>202079</v>
      </c>
      <c r="C29" t="n">
        <v>204329</v>
      </c>
      <c r="D29" t="n">
        <v>-1.1</v>
      </c>
      <c r="E29" t="inlineStr"/>
    </row>
    <row r="30">
      <c r="A30" t="inlineStr">
        <is>
          <t>Weighted average shares - Diluted</t>
        </is>
      </c>
      <c r="B30" t="n">
        <v>209118</v>
      </c>
      <c r="C30" t="n">
        <v>210339</v>
      </c>
      <c r="D30" t="n">
        <v>-0.6</v>
      </c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Assets:</t>
        </is>
      </c>
      <c r="B1" t="inlineStr"/>
      <c r="C1" t="inlineStr"/>
      <c r="D1" t="inlineStr"/>
      <c r="E1" t="inlineStr"/>
    </row>
    <row r="2">
      <c r="A2" s="2" t="inlineStr">
        <is>
          <t>Current Assets: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n">
        <v>602442</v>
      </c>
      <c r="C3" t="n">
        <v>648623</v>
      </c>
      <c r="D3" t="n">
        <v>-7.1</v>
      </c>
      <c r="E3">
        <f>B4/C4-1</f>
        <v/>
      </c>
    </row>
    <row r="4">
      <c r="A4" t="inlineStr">
        <is>
          <t>Investments - current</t>
        </is>
      </c>
      <c r="B4" t="n">
        <v>264084</v>
      </c>
      <c r="C4" t="n">
        <v>314924</v>
      </c>
      <c r="D4" t="n">
        <v>-16.2</v>
      </c>
      <c r="E4">
        <f>B5/C5-1</f>
        <v/>
      </c>
    </row>
    <row r="5">
      <c r="A5" t="inlineStr">
        <is>
          <t>Accounts receivable, net</t>
        </is>
      </c>
      <c r="B5" t="n">
        <v>516429</v>
      </c>
      <c r="C5" t="n">
        <v>429582</v>
      </c>
      <c r="D5" t="n">
        <v>20.2</v>
      </c>
      <c r="E5">
        <f>B6/C6-1</f>
        <v/>
      </c>
    </row>
    <row r="6">
      <c r="A6" t="inlineStr">
        <is>
          <t>Contract assets - current</t>
        </is>
      </c>
      <c r="B6" t="n">
        <v>10782</v>
      </c>
      <c r="C6" t="n">
        <v>13764</v>
      </c>
      <c r="D6" t="n">
        <v>-21.7</v>
      </c>
      <c r="E6">
        <f>B7/C7-1</f>
        <v/>
      </c>
    </row>
    <row r="7">
      <c r="A7" t="inlineStr">
        <is>
          <t>Prepaid expenses and other</t>
        </is>
      </c>
      <c r="B7" t="n">
        <v>97101</v>
      </c>
      <c r="C7" t="n">
        <v>82368</v>
      </c>
      <c r="D7" t="n">
        <v>17.9</v>
      </c>
      <c r="E7">
        <f>B8/C8-1</f>
        <v/>
      </c>
    </row>
    <row r="8">
      <c r="A8" t="inlineStr">
        <is>
          <t>Total Current Assets</t>
        </is>
      </c>
      <c r="B8" t="n">
        <v>1490838</v>
      </c>
      <c r="C8" t="n">
        <v>1489261</v>
      </c>
      <c r="D8" t="n">
        <v>0.1</v>
      </c>
      <c r="E8">
        <f>B4+B5+B6+B7+B8</f>
        <v/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Non-Current Assets:</t>
        </is>
      </c>
      <c r="B10" t="inlineStr"/>
      <c r="C10" t="inlineStr"/>
      <c r="D10" t="inlineStr"/>
      <c r="E10" t="inlineStr"/>
    </row>
    <row r="11">
      <c r="A11" t="inlineStr">
        <is>
          <t>Investments - noncurrent</t>
        </is>
      </c>
      <c r="B11" t="n">
        <v>208393</v>
      </c>
      <c r="C11" t="n">
        <v>134105</v>
      </c>
      <c r="D11" t="n">
        <v>55.5</v>
      </c>
      <c r="E11">
        <f>B11/C11-1</f>
        <v/>
      </c>
    </row>
    <row r="12">
      <c r="A12" t="inlineStr">
        <is>
          <t>Property and equipment, net</t>
        </is>
      </c>
      <c r="B12" t="n">
        <v>361808</v>
      </c>
      <c r="C12" t="n">
        <v>299370</v>
      </c>
      <c r="D12" t="n">
        <v>20.9</v>
      </c>
      <c r="E12">
        <f>B12/C12-1</f>
        <v/>
      </c>
    </row>
    <row r="13">
      <c r="A13" t="inlineStr">
        <is>
          <t>Operating lease right-of-use assets</t>
        </is>
      </c>
      <c r="B13" t="n">
        <v>165578</v>
      </c>
      <c r="C13" t="n">
        <v>109630</v>
      </c>
      <c r="D13" t="n">
        <v>51.1</v>
      </c>
      <c r="E13">
        <f>B13/C13-1</f>
        <v/>
      </c>
    </row>
    <row r="14">
      <c r="A14" t="inlineStr">
        <is>
          <t>Goodwill</t>
        </is>
      </c>
      <c r="B14" t="n">
        <v>458446</v>
      </c>
      <c r="C14" t="n">
        <v>454477</v>
      </c>
      <c r="D14" t="n">
        <v>0.9</v>
      </c>
      <c r="E14">
        <f>B14/C14-1</f>
        <v/>
      </c>
    </row>
    <row r="15">
      <c r="A15" t="inlineStr">
        <is>
          <t>Intangible assets, net</t>
        </is>
      </c>
      <c r="B15" t="n">
        <v>61394</v>
      </c>
      <c r="C15" t="n">
        <v>76388</v>
      </c>
      <c r="D15" t="n">
        <v>-19.6</v>
      </c>
      <c r="E15">
        <f>B15/C15-1</f>
        <v/>
      </c>
    </row>
    <row r="16">
      <c r="A16" t="inlineStr">
        <is>
          <t>Deferred contract acquisition costs</t>
        </is>
      </c>
      <c r="B16" t="n">
        <v>474628</v>
      </c>
      <c r="C16" t="n">
        <v>467201</v>
      </c>
      <c r="D16" t="n">
        <v>1.6</v>
      </c>
      <c r="E16">
        <f>B16/C16-1</f>
        <v/>
      </c>
    </row>
    <row r="17">
      <c r="A17" t="inlineStr">
        <is>
          <t>Deferred tax assets</t>
        </is>
      </c>
      <c r="B17" t="n">
        <v>835245</v>
      </c>
      <c r="C17" t="n">
        <v>840470</v>
      </c>
      <c r="D17" t="n">
        <v>-0.6</v>
      </c>
      <c r="E17">
        <f>B17/C17-1</f>
        <v/>
      </c>
    </row>
    <row r="18">
      <c r="A18" t="inlineStr">
        <is>
          <t>Other assets</t>
        </is>
      </c>
      <c r="B18" t="n">
        <v>173220</v>
      </c>
      <c r="C18" t="n">
        <v>141803</v>
      </c>
      <c r="D18" t="n">
        <v>22.2</v>
      </c>
      <c r="E18">
        <f>B18/C18-1</f>
        <v/>
      </c>
    </row>
    <row r="19">
      <c r="A19" t="inlineStr">
        <is>
          <t>Total Non-Current Assets</t>
        </is>
      </c>
      <c r="B19" t="n">
        <v>2738712</v>
      </c>
      <c r="C19" t="n">
        <v>2527364</v>
      </c>
      <c r="D19" t="n">
        <v>8.4</v>
      </c>
      <c r="E19">
        <f>B11+B12+B13+B14+B15+B16+B17+B18</f>
        <v/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Total Assets</t>
        </is>
      </c>
      <c r="B21" t="n">
        <v>4229550</v>
      </c>
      <c r="C21" t="n">
        <v>4012705</v>
      </c>
      <c r="D21" t="n">
        <v>5.4</v>
      </c>
      <c r="E21">
        <f>B19+B31</f>
        <v/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Liabilities:</t>
        </is>
      </c>
      <c r="B23" t="inlineStr"/>
      <c r="C23" t="inlineStr"/>
      <c r="D23" t="inlineStr"/>
      <c r="E23" t="inlineStr"/>
    </row>
    <row r="24">
      <c r="A24" t="inlineStr">
        <is>
          <t>Current Liabilities:</t>
        </is>
      </c>
      <c r="B24" t="inlineStr"/>
      <c r="C24" t="inlineStr"/>
      <c r="D24" t="inlineStr"/>
      <c r="E24" t="inlineStr"/>
    </row>
    <row r="25">
      <c r="A25" t="inlineStr">
        <is>
          <t>Accounts payable</t>
        </is>
      </c>
      <c r="B25" t="n">
        <v>17419</v>
      </c>
      <c r="C25" t="n">
        <v>30697</v>
      </c>
      <c r="D25" t="n">
        <v>-43.2</v>
      </c>
      <c r="E25">
        <f>B22/C22-1</f>
        <v/>
      </c>
    </row>
    <row r="26">
      <c r="A26" t="inlineStr">
        <is>
          <t>Accrued expenses and other</t>
        </is>
      </c>
      <c r="B26" t="n">
        <v>113358</v>
      </c>
      <c r="C26" t="n">
        <v>99579</v>
      </c>
      <c r="D26" t="n">
        <v>13.9</v>
      </c>
      <c r="E26">
        <f>B23/C23-1</f>
        <v/>
      </c>
    </row>
    <row r="27">
      <c r="A27" t="inlineStr">
        <is>
          <t>Accrued compensation</t>
        </is>
      </c>
      <c r="B27" t="n">
        <v>260840</v>
      </c>
      <c r="C27" t="n">
        <v>227115</v>
      </c>
      <c r="D27" t="n">
        <v>14.8</v>
      </c>
      <c r="E27">
        <f>B24/C24-1</f>
        <v/>
      </c>
    </row>
    <row r="28">
      <c r="A28" t="inlineStr">
        <is>
          <t>Contract liabilities - current</t>
        </is>
      </c>
      <c r="B28" t="n">
        <v>1631168</v>
      </c>
      <c r="C28" t="n">
        <v>1455442</v>
      </c>
      <c r="D28" t="n">
        <v>12.1</v>
      </c>
      <c r="E28">
        <f>B25/C25-1</f>
        <v/>
      </c>
    </row>
    <row r="29">
      <c r="A29" t="inlineStr">
        <is>
          <t>Operating lease liabilities - current</t>
        </is>
      </c>
      <c r="B29" t="n">
        <v>16623</v>
      </c>
      <c r="C29" t="n">
        <v>19077</v>
      </c>
      <c r="D29" t="n">
        <v>-12.9</v>
      </c>
      <c r="E29">
        <f>B26/C26-1</f>
        <v/>
      </c>
    </row>
    <row r="30">
      <c r="A30" t="inlineStr">
        <is>
          <t>Total Current Liabilities</t>
        </is>
      </c>
      <c r="B30" t="n">
        <v>2039408</v>
      </c>
      <c r="C30" t="n">
        <v>1831910</v>
      </c>
      <c r="D30" t="n">
        <v>11.3</v>
      </c>
      <c r="E30">
        <f>B22+B23+B24+B25+B26</f>
        <v/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Non-Current Liabilities:</t>
        </is>
      </c>
      <c r="B32" t="inlineStr"/>
      <c r="C32" t="inlineStr"/>
      <c r="D32" t="inlineStr"/>
      <c r="E32" t="inlineStr"/>
    </row>
    <row r="33">
      <c r="A33" t="inlineStr">
        <is>
          <t>Contract liabilities - noncurrent</t>
        </is>
      </c>
      <c r="B33" t="n">
        <v>29956</v>
      </c>
      <c r="C33" t="n">
        <v>21523</v>
      </c>
      <c r="D33" t="n">
        <v>39.2</v>
      </c>
      <c r="E33">
        <f>B29/C29-1</f>
        <v/>
      </c>
    </row>
    <row r="34">
      <c r="A34" t="inlineStr">
        <is>
          <t>Operating lease liabilities - noncurrent</t>
        </is>
      </c>
      <c r="B34" t="n">
        <v>168496</v>
      </c>
      <c r="C34" t="n">
        <v>105350</v>
      </c>
      <c r="D34" t="n">
        <v>59.9</v>
      </c>
      <c r="E34">
        <f>B30/C30-1</f>
        <v/>
      </c>
    </row>
    <row r="35">
      <c r="A35" t="inlineStr">
        <is>
          <t>Deferred tax liability</t>
        </is>
      </c>
      <c r="B35" t="n">
        <v>21507</v>
      </c>
      <c r="C35" t="n">
        <v>20596</v>
      </c>
      <c r="D35" t="n">
        <v>4.4</v>
      </c>
      <c r="E35">
        <f>B31/C31-1</f>
        <v/>
      </c>
    </row>
    <row r="36">
      <c r="A36" t="inlineStr">
        <is>
          <t>Other liabilities</t>
        </is>
      </c>
      <c r="B36" t="n">
        <v>52363</v>
      </c>
      <c r="C36" t="n">
        <v>30634</v>
      </c>
      <c r="D36" t="n">
        <v>71.09999999999999</v>
      </c>
      <c r="E36">
        <f>B32/C32-1</f>
        <v/>
      </c>
    </row>
    <row r="37">
      <c r="A37" t="inlineStr">
        <is>
          <t>Total Non-Current Liabilities</t>
        </is>
      </c>
      <c r="B37" t="n">
        <v>272322</v>
      </c>
      <c r="C37" t="n">
        <v>178103</v>
      </c>
      <c r="D37" t="n">
        <v>52.9</v>
      </c>
      <c r="E37">
        <f>B29+B30+B31+B32</f>
        <v/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Total Liabilities</t>
        </is>
      </c>
      <c r="B39" t="n">
        <v>2311730</v>
      </c>
      <c r="C39" t="n">
        <v>2010013</v>
      </c>
      <c r="D39" t="n">
        <v>15</v>
      </c>
      <c r="E39">
        <f>B27+B34</f>
        <v/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Stockholders Equity:</t>
        </is>
      </c>
      <c r="B41" t="inlineStr"/>
      <c r="C41" t="inlineStr"/>
      <c r="D41" t="inlineStr"/>
      <c r="E41" t="inlineStr"/>
    </row>
    <row r="42">
      <c r="A42" t="inlineStr">
        <is>
          <t>Common stock</t>
        </is>
      </c>
      <c r="B42" t="n">
        <v>20</v>
      </c>
      <c r="C42" t="n">
        <v>20</v>
      </c>
      <c r="D42" t="n">
        <v>0</v>
      </c>
      <c r="E42" t="inlineStr"/>
    </row>
    <row r="43">
      <c r="A43" t="inlineStr">
        <is>
          <t>Treasury stock</t>
        </is>
      </c>
      <c r="B43" t="n">
        <v>0</v>
      </c>
      <c r="C43" t="n">
        <v>-2871</v>
      </c>
      <c r="D43" t="n">
        <v>100</v>
      </c>
      <c r="E43">
        <f>B37-C37</f>
        <v/>
      </c>
    </row>
    <row r="44">
      <c r="A44" t="inlineStr">
        <is>
          <t>Additional paid-in capital</t>
        </is>
      </c>
      <c r="B44" t="n">
        <v>3777995</v>
      </c>
      <c r="C44" t="n">
        <v>3321242</v>
      </c>
      <c r="D44" t="n">
        <v>13.8</v>
      </c>
      <c r="E44">
        <f>B38/C38-1</f>
        <v/>
      </c>
    </row>
    <row r="45">
      <c r="A45" t="inlineStr">
        <is>
          <t>Accumulated other comprehensive loss</t>
        </is>
      </c>
      <c r="B45" t="n">
        <v>-3712</v>
      </c>
      <c r="C45" t="n">
        <v>-28376</v>
      </c>
      <c r="D45" t="n">
        <v>-86.90000000000001</v>
      </c>
      <c r="E45">
        <f>B39/C39-1</f>
        <v/>
      </c>
    </row>
    <row r="46">
      <c r="A46" t="inlineStr">
        <is>
          <t>Accumulated deficit</t>
        </is>
      </c>
      <c r="B46" t="n">
        <v>-1856483</v>
      </c>
      <c r="C46" t="n">
        <v>-1287323</v>
      </c>
      <c r="D46" t="n">
        <v>-44.2</v>
      </c>
      <c r="E46">
        <f>B40/C40-1</f>
        <v/>
      </c>
    </row>
    <row r="47">
      <c r="A47" t="inlineStr">
        <is>
          <t>Total Stockholders Equity</t>
        </is>
      </c>
      <c r="B47" t="n">
        <v>1917820</v>
      </c>
      <c r="C47" t="n">
        <v>2002692</v>
      </c>
      <c r="D47" t="n">
        <v>-4.2</v>
      </c>
      <c r="E47">
        <f>B37+B38+B39+B40</f>
        <v/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Total Liabilities and Equity</t>
        </is>
      </c>
      <c r="B49" t="n">
        <v>4229550</v>
      </c>
      <c r="C49" t="n">
        <v>4012705</v>
      </c>
      <c r="D49" t="n">
        <v>5.4</v>
      </c>
      <c r="E49">
        <f>B35+B42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from Operating Activities:</t>
        </is>
      </c>
      <c r="B1" t="inlineStr"/>
      <c r="C1" t="inlineStr"/>
      <c r="D1" t="inlineStr"/>
      <c r="E1" t="inlineStr"/>
    </row>
    <row r="2">
      <c r="A2" s="2" t="inlineStr">
        <is>
          <t>Net Income</t>
        </is>
      </c>
      <c r="B2" t="n">
        <v>309085</v>
      </c>
      <c r="C2" t="n">
        <v>1067885</v>
      </c>
      <c r="D2" t="n">
        <v>-71.09999999999999</v>
      </c>
      <c r="E2">
        <f>B4/C4-1</f>
        <v/>
      </c>
    </row>
    <row r="3">
      <c r="A3" t="inlineStr">
        <is>
          <t>Adjustments to reconcile net income:</t>
        </is>
      </c>
      <c r="B3" t="inlineStr"/>
      <c r="C3" t="inlineStr"/>
      <c r="D3" t="inlineStr"/>
      <c r="E3" t="inlineStr"/>
    </row>
    <row r="4">
      <c r="A4" t="inlineStr">
        <is>
          <t>Depreciation and amortization</t>
        </is>
      </c>
      <c r="B4" t="n">
        <v>116081</v>
      </c>
      <c r="C4" t="n">
        <v>107804</v>
      </c>
      <c r="D4" t="n">
        <v>7.7</v>
      </c>
      <c r="E4">
        <f>B6/C6-1</f>
        <v/>
      </c>
    </row>
    <row r="5">
      <c r="A5" t="inlineStr">
        <is>
          <t>Stock-based compensation</t>
        </is>
      </c>
      <c r="B5" t="n">
        <v>622321</v>
      </c>
      <c r="C5" t="n">
        <v>605499</v>
      </c>
      <c r="D5" t="n">
        <v>2.8</v>
      </c>
      <c r="E5">
        <f>B7/C7-1</f>
        <v/>
      </c>
    </row>
    <row r="6">
      <c r="A6" t="inlineStr">
        <is>
          <t>Deferred income taxes</t>
        </is>
      </c>
      <c r="B6" t="n">
        <v>4713</v>
      </c>
      <c r="C6" t="n">
        <v>-839989</v>
      </c>
      <c r="D6" t="n">
        <v>-100.6</v>
      </c>
      <c r="E6">
        <f>B8/C8-1</f>
        <v/>
      </c>
    </row>
    <row r="7">
      <c r="A7" t="inlineStr">
        <is>
          <t>Changes in operating assets and liabilities:</t>
        </is>
      </c>
      <c r="B7" t="inlineStr"/>
      <c r="C7" t="inlineStr"/>
      <c r="D7" t="inlineStr"/>
      <c r="E7" t="inlineStr"/>
    </row>
    <row r="8">
      <c r="A8" t="inlineStr">
        <is>
          <t>Accounts receivable</t>
        </is>
      </c>
      <c r="B8" t="n">
        <v>-91742</v>
      </c>
      <c r="C8" t="n">
        <v>2075</v>
      </c>
      <c r="D8" t="n">
        <v>-4523.6</v>
      </c>
      <c r="E8">
        <f>B10/C10-1</f>
        <v/>
      </c>
    </row>
    <row r="9">
      <c r="A9" t="inlineStr">
        <is>
          <t>Prepaid expenses and other</t>
        </is>
      </c>
      <c r="B9" t="n">
        <v>-15200</v>
      </c>
      <c r="C9" t="n">
        <v>-17634</v>
      </c>
      <c r="D9" t="n">
        <v>13.8</v>
      </c>
      <c r="E9">
        <f>B11/C11-1</f>
        <v/>
      </c>
    </row>
    <row r="10">
      <c r="A10" t="inlineStr">
        <is>
          <t>Accounts payable</t>
        </is>
      </c>
      <c r="B10" t="n">
        <v>-15148</v>
      </c>
      <c r="C10" t="n">
        <v>7638</v>
      </c>
      <c r="D10" t="n">
        <v>-298.4</v>
      </c>
      <c r="E10">
        <f>B12/C12-1</f>
        <v/>
      </c>
    </row>
    <row r="11">
      <c r="A11" t="inlineStr">
        <is>
          <t>Accrued expenses and other</t>
        </is>
      </c>
      <c r="B11" t="n">
        <v>26257</v>
      </c>
      <c r="C11" t="n">
        <v>2935</v>
      </c>
      <c r="D11" t="n">
        <v>793.6</v>
      </c>
      <c r="E11">
        <f>B13/C13-1</f>
        <v/>
      </c>
    </row>
    <row r="12">
      <c r="A12" t="inlineStr">
        <is>
          <t>Contract liabilities</t>
        </is>
      </c>
      <c r="B12" t="n">
        <v>177203</v>
      </c>
      <c r="C12" t="n">
        <v>129854</v>
      </c>
      <c r="D12" t="n">
        <v>36.5</v>
      </c>
      <c r="E12">
        <f>B14/C14-1</f>
        <v/>
      </c>
    </row>
    <row r="13">
      <c r="A13" t="inlineStr">
        <is>
          <t>Net Cash Provided by Operating Activities</t>
        </is>
      </c>
      <c r="B13" t="n">
        <v>1165007</v>
      </c>
      <c r="C13" t="n">
        <v>1017272</v>
      </c>
      <c r="D13" t="n">
        <v>14.5</v>
      </c>
      <c r="E13">
        <f>SUM(B4:B14)</f>
        <v/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Cash Flow from Investing Activities:</t>
        </is>
      </c>
      <c r="B15" t="inlineStr"/>
      <c r="C15" t="inlineStr"/>
      <c r="D15" t="inlineStr"/>
      <c r="E15" t="inlineStr"/>
    </row>
    <row r="16">
      <c r="A16" t="inlineStr">
        <is>
          <t>Purchases of property and equipment</t>
        </is>
      </c>
      <c r="B16" t="n">
        <v>-106445</v>
      </c>
      <c r="C16" t="n">
        <v>-96988</v>
      </c>
      <c r="D16" t="n">
        <v>9.800000000000001</v>
      </c>
      <c r="E16">
        <f>B17/C17-1</f>
        <v/>
      </c>
    </row>
    <row r="17">
      <c r="A17" t="inlineStr">
        <is>
          <t>Purchases of investments</t>
        </is>
      </c>
      <c r="B17" t="n">
        <v>-409599</v>
      </c>
      <c r="C17" t="n">
        <v>-411236</v>
      </c>
      <c r="D17" t="n">
        <v>-0.4</v>
      </c>
      <c r="E17">
        <f>B18/C18-1</f>
        <v/>
      </c>
    </row>
    <row r="18">
      <c r="A18" t="inlineStr">
        <is>
          <t>Maturities of investments</t>
        </is>
      </c>
      <c r="B18" t="n">
        <v>389989</v>
      </c>
      <c r="C18" t="n">
        <v>340334</v>
      </c>
      <c r="D18" t="n">
        <v>14.6</v>
      </c>
      <c r="E18">
        <f>B19/C19-1</f>
        <v/>
      </c>
    </row>
    <row r="19">
      <c r="A19" t="inlineStr">
        <is>
          <t>Net Cash Used in Investing Activities</t>
        </is>
      </c>
      <c r="B19" t="n">
        <v>-126781</v>
      </c>
      <c r="C19" t="n">
        <v>-312876</v>
      </c>
      <c r="D19" t="n">
        <v>-62.6</v>
      </c>
      <c r="E19">
        <f>SUM(B17:B19)</f>
        <v/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Cash Flow from Financing Activities:</t>
        </is>
      </c>
      <c r="B21" t="inlineStr"/>
      <c r="C21" t="inlineStr"/>
      <c r="D21" t="inlineStr"/>
      <c r="E21" t="inlineStr"/>
    </row>
    <row r="22">
      <c r="A22" t="inlineStr">
        <is>
          <t>Repurchases of common stock</t>
        </is>
      </c>
      <c r="B22" t="n">
        <v>-869086</v>
      </c>
      <c r="C22" t="n">
        <v>-683528</v>
      </c>
      <c r="D22" t="n">
        <v>27.3</v>
      </c>
      <c r="E22">
        <f>B22/C22-1</f>
        <v/>
      </c>
    </row>
    <row r="23">
      <c r="A23" t="inlineStr">
        <is>
          <t>Payment of tax withholding</t>
        </is>
      </c>
      <c r="B23" t="n">
        <v>-269713</v>
      </c>
      <c r="C23" t="n">
        <v>-213282</v>
      </c>
      <c r="D23" t="n">
        <v>26.3</v>
      </c>
      <c r="E23">
        <f>B23/C23-1</f>
        <v/>
      </c>
    </row>
    <row r="24">
      <c r="A24" t="inlineStr">
        <is>
          <t>Proceeds from stock options</t>
        </is>
      </c>
      <c r="B24" t="n">
        <v>1250</v>
      </c>
      <c r="C24" t="n">
        <v>22705</v>
      </c>
      <c r="D24" t="n">
        <v>-94.5</v>
      </c>
      <c r="E24">
        <f>B24/C24-1</f>
        <v/>
      </c>
    </row>
    <row r="25">
      <c r="A25" t="inlineStr">
        <is>
          <t>Proceeds from ESPP</t>
        </is>
      </c>
      <c r="B25" t="n">
        <v>40780</v>
      </c>
      <c r="C25" t="n">
        <v>35314</v>
      </c>
      <c r="D25" t="n">
        <v>15.5</v>
      </c>
      <c r="E25">
        <f>B25/C25-1</f>
        <v/>
      </c>
    </row>
    <row r="26">
      <c r="A26" t="inlineStr">
        <is>
          <t>Net Cash Used in Financing Activities</t>
        </is>
      </c>
      <c r="B26" t="n">
        <v>-1099902</v>
      </c>
      <c r="C26" t="n">
        <v>-838791</v>
      </c>
      <c r="D26" t="n">
        <v>31.1</v>
      </c>
      <c r="E26">
        <f>SUM(B22:B25)</f>
        <v/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Increase in Cash</t>
        </is>
      </c>
      <c r="B28" t="n">
        <v>-61676</v>
      </c>
      <c r="C28" t="n">
        <v>-141945</v>
      </c>
      <c r="D28" t="n">
        <v>56.5</v>
      </c>
      <c r="E28">
        <f>B15+B27+B30</f>
        <v/>
      </c>
    </row>
    <row r="29">
      <c r="A29" t="inlineStr">
        <is>
          <t>Cash at Beginning of Period</t>
        </is>
      </c>
      <c r="B29" t="n">
        <v>659554</v>
      </c>
      <c r="C29" t="n">
        <v>801499</v>
      </c>
      <c r="D29" t="n">
        <v>-17.7</v>
      </c>
      <c r="E29">
        <f>B32+61676</f>
        <v/>
      </c>
    </row>
    <row r="30">
      <c r="A30" t="inlineStr">
        <is>
          <t>Cash at End of Period</t>
        </is>
      </c>
      <c r="B30" t="n">
        <v>618150</v>
      </c>
      <c r="C30" t="n">
        <v>659554</v>
      </c>
      <c r="D30" t="n">
        <v>-6.3</v>
      </c>
      <c r="E30">
        <f>B32+B33</f>
        <v/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Free Cash Flow Calculation:</t>
        </is>
      </c>
      <c r="B32" t="inlineStr"/>
      <c r="C32" t="inlineStr"/>
      <c r="D32" t="inlineStr"/>
      <c r="E32" t="inlineStr"/>
    </row>
    <row r="33">
      <c r="A33" t="inlineStr">
        <is>
          <t>Net Cash Provided by Operating Activities</t>
        </is>
      </c>
      <c r="B33" t="n">
        <v>1165007</v>
      </c>
      <c r="C33" t="n">
        <v>1017272</v>
      </c>
      <c r="D33" t="n">
        <v>14.5</v>
      </c>
      <c r="E33" t="inlineStr"/>
    </row>
    <row r="34">
      <c r="A34" t="inlineStr">
        <is>
          <t>Less: Purchases of Property and Equipment</t>
        </is>
      </c>
      <c r="B34" t="n">
        <v>-106445</v>
      </c>
      <c r="C34" t="n">
        <v>-96988</v>
      </c>
      <c r="D34" t="n">
        <v>9.800000000000001</v>
      </c>
      <c r="E34" t="inlineStr"/>
    </row>
    <row r="35">
      <c r="A35" t="inlineStr">
        <is>
          <t>Free Cash Flow</t>
        </is>
      </c>
      <c r="B35" t="n">
        <v>1058562</v>
      </c>
      <c r="C35" t="n">
        <v>920284</v>
      </c>
      <c r="D35" t="n">
        <v>15</v>
      </c>
      <c r="E35">
        <f>B36+B37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2026-04-26T17:33:26Z</dcterms:created>
  <dcterms:modified xmlns:dcterms="http://purl.org/dc/terms/" xmlns:xsi="http://www.w3.org/2001/XMLSchema-instance" xsi:type="dcterms:W3CDTF">2026-04-26T17:33:26Z</dcterms:modified>
</cp:coreProperties>
</file>